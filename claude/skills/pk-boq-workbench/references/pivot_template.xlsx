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Kevin\.claude\skills\pk-boq-workbench\references\"/>
    </mc:Choice>
  </mc:AlternateContent>
  <xr:revisionPtr revIDLastSave="0" documentId="13_ncr:1_{1E601291-3E4F-475C-83DB-875045CCBD76}" xr6:coauthVersionLast="47" xr6:coauthVersionMax="47" xr10:uidLastSave="{00000000-0000-0000-0000-000000000000}"/>
  <bookViews>
    <workbookView xWindow="-108" yWindow="-108" windowWidth="23256" windowHeight="14160" tabRatio="771" xr2:uid="{00000000-000D-0000-FFFF-FFFF00000000}"/>
  </bookViews>
  <sheets>
    <sheet name="CombineBQ" sheetId="15" r:id="rId1"/>
    <sheet name="CostSummary" sheetId="16" r:id="rId2"/>
    <sheet name="MainQty" sheetId="17" r:id="rId3"/>
    <sheet name="UniqueBQ" sheetId="18" r:id="rId4"/>
    <sheet name="UniqueShot" sheetId="19" r:id="rId5"/>
  </sheets>
  <definedNames>
    <definedName name="_xlnm._FilterDatabase" localSheetId="0" hidden="1">CombineBQ!$W$1:$X$68</definedName>
    <definedName name="分类定义区">CombineBQ!$A$3:$AI$68</definedName>
  </definedNames>
  <calcPr calcId="191029"/>
  <pivotCaches>
    <pivotCache cacheId="14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<sst xmlns="http://schemas.openxmlformats.org/spreadsheetml/2006/main" count="1022" uniqueCount="359">
  <si>
    <t>No.</t>
  </si>
  <si>
    <t>Description</t>
  </si>
  <si>
    <t>Unit</t>
  </si>
  <si>
    <t>Factor</t>
  </si>
  <si>
    <t>Supplier</t>
  </si>
  <si>
    <t>Discipline</t>
  </si>
  <si>
    <t>SortKey</t>
  </si>
  <si>
    <t>Category</t>
  </si>
  <si>
    <t>Subcategory</t>
  </si>
  <si>
    <t>Element</t>
  </si>
  <si>
    <t>Material</t>
  </si>
  <si>
    <t>PRELIM</t>
  </si>
  <si>
    <t>Preliminaries</t>
  </si>
  <si>
    <t>4. The quantities for all items shall be inserted by the Tenderer.</t>
  </si>
  <si>
    <t>Item</t>
  </si>
  <si>
    <t>A.03</t>
  </si>
  <si>
    <t>Piling Works</t>
  </si>
  <si>
    <t>Bored Cast-in-place Piles</t>
  </si>
  <si>
    <t>m</t>
  </si>
  <si>
    <t>M3</t>
  </si>
  <si>
    <t>m2</t>
  </si>
  <si>
    <t>A.01</t>
  </si>
  <si>
    <t>Site Preparation and Earthworks</t>
  </si>
  <si>
    <t>Site Levelling and Others</t>
  </si>
  <si>
    <t>Site Levelling</t>
  </si>
  <si>
    <t>m3</t>
  </si>
  <si>
    <t>Foundation Earthworks</t>
  </si>
  <si>
    <t>Standalone Earthworks</t>
  </si>
  <si>
    <t>A.04</t>
  </si>
  <si>
    <t>Cast-in-place Concrete and Reinforcement</t>
  </si>
  <si>
    <t>Concrete Blinding</t>
  </si>
  <si>
    <t>Foundations and Pile Caps</t>
  </si>
  <si>
    <t>Cast-in-place Beams</t>
  </si>
  <si>
    <t>Cast-in-place Slabs</t>
  </si>
  <si>
    <t>Backfilling</t>
  </si>
  <si>
    <t>A.31</t>
  </si>
  <si>
    <t>【TOTAL】</t>
  </si>
  <si>
    <t/>
  </si>
  <si>
    <t>工程施工其他直接费</t>
  </si>
  <si>
    <t>承包商临时设施费</t>
  </si>
  <si>
    <t>提供给业主/监理的服务</t>
  </si>
  <si>
    <t>调遣费</t>
  </si>
  <si>
    <t>实验检测费</t>
  </si>
  <si>
    <t>HSE专项经费</t>
  </si>
  <si>
    <t>现场管理费</t>
  </si>
  <si>
    <t>其他</t>
  </si>
  <si>
    <t>工程实施其他直接费</t>
  </si>
  <si>
    <t>地勘及设计、设计审查费</t>
  </si>
  <si>
    <t>保函及保险费</t>
  </si>
  <si>
    <t>施工许可证费用</t>
  </si>
  <si>
    <t>财务费用</t>
  </si>
  <si>
    <t>维修期费用</t>
  </si>
  <si>
    <t>间接费</t>
  </si>
  <si>
    <t>现场管理人员费用</t>
  </si>
  <si>
    <t>税费（关税）</t>
  </si>
  <si>
    <t>预扣税</t>
  </si>
  <si>
    <t>印花税</t>
  </si>
  <si>
    <t>咨询费</t>
  </si>
  <si>
    <t>风险费</t>
  </si>
  <si>
    <t>利润</t>
  </si>
  <si>
    <t>开办费总计</t>
  </si>
  <si>
    <t>值</t>
  </si>
  <si>
    <t>UniqueBQ 数据透视表</t>
  </si>
  <si>
    <t>求和项:Quantity</t>
  </si>
  <si>
    <t>AI Search</t>
  </si>
  <si>
    <t>Manual Search</t>
  </si>
  <si>
    <t>Norm-AI</t>
  </si>
  <si>
    <t>Name</t>
  </si>
  <si>
    <t>Conv Formula</t>
  </si>
  <si>
    <t>Curr</t>
  </si>
  <si>
    <t>Ref Project</t>
  </si>
  <si>
    <t>Date</t>
  </si>
  <si>
    <t>CODE</t>
  </si>
  <si>
    <t>Reason</t>
  </si>
  <si>
    <t/>
  </si>
  <si>
    <t/>
  </si>
  <si>
    <t/>
  </si>
  <si>
    <t/>
  </si>
  <si>
    <t/>
  </si>
  <si>
    <t/>
  </si>
  <si>
    <t/>
  </si>
  <si>
    <t>个</t>
  </si>
  <si>
    <t/>
  </si>
  <si>
    <t/>
  </si>
  <si>
    <t/>
  </si>
  <si>
    <t/>
  </si>
  <si>
    <t/>
  </si>
  <si>
    <t/>
  </si>
  <si>
    <t/>
  </si>
  <si>
    <t/>
  </si>
  <si>
    <t>kg</t>
  </si>
  <si>
    <t/>
  </si>
  <si>
    <t>Main Quantity Summary</t>
  </si>
  <si>
    <t/>
  </si>
  <si>
    <t/>
  </si>
  <si>
    <t>CleanDescription</t>
  </si>
  <si>
    <t>BQ KEY</t>
  </si>
  <si>
    <t>求和项:入价
Amount</t>
  </si>
  <si>
    <t>平均值项:入价</t>
  </si>
  <si>
    <t>Excavation</t>
  </si>
  <si>
    <t>Formwork to raft slab</t>
  </si>
  <si>
    <t>Concrete blinding, f'c = 15 MPa</t>
  </si>
  <si>
    <t>辅助用工</t>
  </si>
  <si>
    <t>洒水车</t>
  </si>
  <si>
    <t>加油车</t>
  </si>
  <si>
    <t>发电机</t>
  </si>
  <si>
    <t>其他设备</t>
  </si>
  <si>
    <t>m3</t>
    <phoneticPr fontId="1" type="noConversion"/>
  </si>
  <si>
    <t>工程总造价（不含增值税）</t>
  </si>
  <si>
    <t/>
  </si>
  <si>
    <t>Labor</t>
  </si>
  <si>
    <t>Equipment</t>
  </si>
  <si>
    <r>
      <rPr>
        <b/>
        <sz val="11"/>
        <color theme="0"/>
        <rFont val="宋体"/>
        <family val="2"/>
      </rPr>
      <t>编号</t>
    </r>
  </si>
  <si>
    <r>
      <rPr>
        <b/>
        <sz val="11"/>
        <color theme="0"/>
        <rFont val="宋体"/>
        <family val="2"/>
      </rPr>
      <t>名称</t>
    </r>
  </si>
  <si>
    <r>
      <rPr>
        <b/>
        <sz val="11"/>
        <color theme="0"/>
        <rFont val="宋体"/>
        <family val="2"/>
      </rPr>
      <t>单位</t>
    </r>
  </si>
  <si>
    <r>
      <rPr>
        <b/>
        <sz val="11"/>
        <color theme="0"/>
        <rFont val="宋体"/>
        <family val="2"/>
      </rPr>
      <t>工程量</t>
    </r>
    <phoneticPr fontId="1" type="noConversion"/>
  </si>
  <si>
    <t>B</t>
  </si>
  <si>
    <r>
      <rPr>
        <b/>
        <sz val="11"/>
        <rFont val="Microsoft YaHei UI"/>
        <family val="2"/>
        <charset val="134"/>
      </rPr>
      <t>《钢筋》</t>
    </r>
  </si>
  <si>
    <r>
      <rPr>
        <sz val="11"/>
        <rFont val="Microsoft YaHei UI"/>
        <family val="2"/>
        <charset val="134"/>
      </rPr>
      <t>钢筋</t>
    </r>
    <r>
      <rPr>
        <sz val="11"/>
        <rFont val="Times New Roman"/>
        <family val="1"/>
      </rPr>
      <t>10</t>
    </r>
    <r>
      <rPr>
        <sz val="11"/>
        <rFont val="Microsoft YaHei UI"/>
        <family val="2"/>
        <charset val="134"/>
      </rPr>
      <t>及以内</t>
    </r>
  </si>
  <si>
    <r>
      <rPr>
        <sz val="11"/>
        <rFont val="Microsoft YaHei UI"/>
        <family val="2"/>
        <charset val="134"/>
      </rPr>
      <t>钢筋</t>
    </r>
    <r>
      <rPr>
        <sz val="11"/>
        <rFont val="Times New Roman"/>
        <family val="1"/>
      </rPr>
      <t>10</t>
    </r>
    <r>
      <rPr>
        <sz val="11"/>
        <rFont val="Microsoft YaHei UI"/>
        <family val="2"/>
        <charset val="134"/>
      </rPr>
      <t>以外</t>
    </r>
  </si>
  <si>
    <r>
      <rPr>
        <sz val="11"/>
        <rFont val="Microsoft YaHei UI"/>
        <family val="2"/>
        <charset val="134"/>
      </rPr>
      <t>钢筋网片</t>
    </r>
  </si>
  <si>
    <t>C</t>
  </si>
  <si>
    <r>
      <rPr>
        <b/>
        <sz val="11"/>
        <rFont val="Microsoft YaHei UI"/>
        <family val="2"/>
        <charset val="134"/>
      </rPr>
      <t>《混凝土》</t>
    </r>
  </si>
  <si>
    <r>
      <rPr>
        <sz val="11"/>
        <rFont val="Microsoft YaHei UI"/>
        <family val="2"/>
        <charset val="134"/>
      </rPr>
      <t>基础混凝土</t>
    </r>
  </si>
  <si>
    <r>
      <rPr>
        <sz val="11"/>
        <rFont val="Microsoft YaHei UI"/>
        <family val="2"/>
        <charset val="134"/>
      </rPr>
      <t>梁混凝土</t>
    </r>
  </si>
  <si>
    <r>
      <rPr>
        <sz val="11"/>
        <rFont val="Microsoft YaHei UI"/>
        <family val="2"/>
        <charset val="134"/>
      </rPr>
      <t>板混凝土</t>
    </r>
  </si>
  <si>
    <r>
      <rPr>
        <sz val="11"/>
        <rFont val="Microsoft YaHei UI"/>
        <family val="2"/>
        <charset val="134"/>
      </rPr>
      <t>柱混凝土</t>
    </r>
  </si>
  <si>
    <r>
      <rPr>
        <sz val="11"/>
        <rFont val="Microsoft YaHei UI"/>
        <family val="2"/>
        <charset val="134"/>
      </rPr>
      <t>墙混凝土</t>
    </r>
  </si>
  <si>
    <r>
      <rPr>
        <sz val="11"/>
        <rFont val="Microsoft YaHei UI"/>
        <family val="2"/>
        <charset val="134"/>
      </rPr>
      <t>其他混凝土</t>
    </r>
  </si>
  <si>
    <t>D</t>
  </si>
  <si>
    <r>
      <rPr>
        <b/>
        <sz val="11"/>
        <rFont val="Microsoft YaHei UI"/>
        <family val="2"/>
        <charset val="134"/>
      </rPr>
      <t>《模板》</t>
    </r>
  </si>
  <si>
    <t>E</t>
    <phoneticPr fontId="1" type="noConversion"/>
  </si>
  <si>
    <t>《装配式结构》</t>
  </si>
  <si>
    <r>
      <rPr>
        <sz val="11"/>
        <rFont val="宋体"/>
        <family val="1"/>
        <charset val="134"/>
      </rPr>
      <t>装配式混凝土</t>
    </r>
    <phoneticPr fontId="1" type="noConversion"/>
  </si>
  <si>
    <r>
      <rPr>
        <sz val="11"/>
        <rFont val="宋体"/>
        <family val="1"/>
        <charset val="134"/>
      </rPr>
      <t>钢结构</t>
    </r>
    <phoneticPr fontId="1" type="noConversion"/>
  </si>
  <si>
    <t>t</t>
    <phoneticPr fontId="1" type="noConversion"/>
  </si>
  <si>
    <t>F</t>
    <phoneticPr fontId="1" type="noConversion"/>
  </si>
  <si>
    <t>《二次结构》</t>
  </si>
  <si>
    <t>砖砌体</t>
  </si>
  <si>
    <r>
      <rPr>
        <sz val="11"/>
        <color theme="1"/>
        <rFont val="宋体"/>
        <family val="2"/>
      </rPr>
      <t>钢砼二次结构</t>
    </r>
  </si>
  <si>
    <r>
      <rPr>
        <sz val="11"/>
        <color theme="1"/>
        <rFont val="宋体"/>
        <family val="2"/>
      </rPr>
      <t>轻质隔墙</t>
    </r>
  </si>
  <si>
    <t>G</t>
    <phoneticPr fontId="1" type="noConversion"/>
  </si>
  <si>
    <t>室内防水</t>
  </si>
  <si>
    <t>地下室外防水</t>
  </si>
  <si>
    <t>屋面防水</t>
  </si>
  <si>
    <t>外墙保温</t>
  </si>
  <si>
    <t>屋面保温</t>
  </si>
  <si>
    <t>G</t>
  </si>
  <si>
    <t>《门窗栏杆屋顶》</t>
  </si>
  <si>
    <t>室内成套门</t>
  </si>
  <si>
    <t>室外门窗</t>
  </si>
  <si>
    <t>栏杆</t>
  </si>
  <si>
    <t>玻璃雨棚幕墙</t>
  </si>
  <si>
    <t>金属屋顶</t>
  </si>
  <si>
    <t>H</t>
  </si>
  <si>
    <t>《楼地面》</t>
  </si>
  <si>
    <t>地面砂浆</t>
  </si>
  <si>
    <t>地面涂料</t>
  </si>
  <si>
    <t>地面块料</t>
  </si>
  <si>
    <t>I</t>
  </si>
  <si>
    <t>《内墙面》</t>
  </si>
  <si>
    <t>内墙抹灰</t>
  </si>
  <si>
    <t>内墙涂料</t>
  </si>
  <si>
    <t>内墙瓷砖</t>
  </si>
  <si>
    <t>内墙装饰</t>
  </si>
  <si>
    <t>《外墙面》</t>
  </si>
  <si>
    <t>外墙抹灰</t>
  </si>
  <si>
    <t>外墙涂料</t>
  </si>
  <si>
    <t>外墙装饰幕墙</t>
  </si>
  <si>
    <t>J</t>
  </si>
  <si>
    <t>《天棚》</t>
  </si>
  <si>
    <t>天棚抹灰</t>
  </si>
  <si>
    <t>天棚涂料</t>
  </si>
  <si>
    <t>天棚吊顶</t>
  </si>
  <si>
    <t>天棚装饰</t>
  </si>
  <si>
    <t>《洁具》</t>
  </si>
  <si>
    <t>洗手台</t>
  </si>
  <si>
    <t>座便器</t>
  </si>
  <si>
    <t>淋浴器</t>
  </si>
  <si>
    <t>《橱柜》</t>
  </si>
  <si>
    <t>橱柜</t>
  </si>
  <si>
    <t>地柜</t>
  </si>
  <si>
    <t>EXPORT</t>
  </si>
  <si>
    <t>COST</t>
  </si>
  <si>
    <t>AI</t>
    <phoneticPr fontId="1" type="noConversion"/>
  </si>
  <si>
    <t>SUBCONTRACTOR</t>
    <phoneticPr fontId="1" type="noConversion"/>
  </si>
  <si>
    <t>Main Key</t>
  </si>
  <si>
    <t>Qty</t>
    <phoneticPr fontId="1" type="noConversion"/>
  </si>
  <si>
    <t>Rate</t>
    <phoneticPr fontId="1" type="noConversion"/>
  </si>
  <si>
    <t>Amount</t>
    <phoneticPr fontId="1" type="noConversion"/>
  </si>
  <si>
    <t>Norm Rate</t>
  </si>
  <si>
    <t>Norm Amount</t>
  </si>
  <si>
    <t>Ref Rate</t>
    <phoneticPr fontId="1" type="noConversion"/>
  </si>
  <si>
    <t>Ref Amount</t>
    <phoneticPr fontId="1" type="noConversion"/>
  </si>
  <si>
    <t>【示例分部】</t>
  </si>
  <si>
    <t>《示例子分部》</t>
  </si>
  <si>
    <t>Special Preambles</t>
  </si>
  <si>
    <t>In addition to the Preamble Notes, the following provisions shall apply specifically to this Contract:</t>
  </si>
  <si>
    <t>1. The Tenderer shall include all design costs in the rates and prices.</t>
  </si>
  <si>
    <t>2. In accordance with Clause 7.04 of the Preliminaries, the Tenderer shall complete the Schedule of Quantities and Rates.</t>
  </si>
  <si>
    <t>3. Quantities in the Schedule of Quantities and Rates do not form part of the Contract and are at the sole risk of the Tenderer.</t>
  </si>
  <si>
    <t>5. The Tenderer shall insert and price under "OTHER" on the last page of each Schedule all additional items it considers necessary for completion of the Contract.</t>
  </si>
  <si>
    <t>6. The Tenderer shall complete the "Supply Rate", "Install Rate" and "All-in Rate" columns. The "All-in Rate" equals the "Supply Rate" plus the "Install Rate". The "Supply Rate" includes the material supply price before dispatch from the country or region of origin. The "Install Rate" includes installation, wastage and mark-up.</t>
  </si>
  <si>
    <t>Civil &amp; Decoration</t>
  </si>
  <si>
    <t>Bored Cast-in-situ Piles with Slurry Support</t>
  </si>
  <si>
    <t>{TESTS, REPORTS AND RECORDS}</t>
  </si>
  <si>
    <t>12</t>
  </si>
  <si>
    <t>示例明细项 A</t>
  </si>
  <si>
    <t>Testing and Monitoring</t>
  </si>
  <si>
    <t>Pile Foundation Testing</t>
  </si>
  <si>
    <t>Low-strain Pile Integrity Testing (PIT)</t>
  </si>
  <si>
    <t>13</t>
  </si>
  <si>
    <t>Core-drilling test</t>
  </si>
  <si>
    <t>Pile Core Drilling Inspection</t>
  </si>
  <si>
    <t>14</t>
  </si>
  <si>
    <t>Cross-hole sonic logging test (including installation of embedded sonic tubes in piles)</t>
  </si>
  <si>
    <t>Cross-hole Sonic Logging (CSL)</t>
  </si>
  <si>
    <t>15</t>
  </si>
  <si>
    <t>Single-pile vertical compressive static load test</t>
  </si>
  <si>
    <t>Static Load Test for Single Pile Capacity</t>
  </si>
  <si>
    <t>16</t>
  </si>
  <si>
    <t>Exploratory drilling test</t>
  </si>
  <si>
    <t>17</t>
  </si>
  <si>
    <t>Static uplift and lateral load tests</t>
  </si>
  <si>
    <t>Static Load Test</t>
  </si>
  <si>
    <t>18</t>
  </si>
  <si>
    <t>Construction of slurry pit</t>
  </si>
  <si>
    <t>19</t>
  </si>
  <si>
    <t>Provide soil test report</t>
  </si>
  <si>
    <t>Ground and Support Testing &amp; Monitoring</t>
  </si>
  <si>
    <t>Ground Treatment Testing and Inspection</t>
  </si>
  <si>
    <t>{Other}</t>
  </si>
  <si>
    <t>20</t>
  </si>
  <si>
    <t>Allow for all other works and costs not included above but necessary for completion of the "PILING WORKS" as shown on the Drawings and described in the Specification.</t>
  </si>
  <si>
    <t>《2.2 - Excavation and Backfilling》</t>
  </si>
  <si>
    <t>{EXCAVATION}</t>
  </si>
  <si>
    <t>21</t>
  </si>
  <si>
    <t>示例明细项 B</t>
  </si>
  <si>
    <t>22</t>
  </si>
  <si>
    <t>Earth excavation for cast-in-place piles</t>
  </si>
  <si>
    <t>Earthwork Excavation Between Piles and Internal Strut</t>
  </si>
  <si>
    <t>23</t>
  </si>
  <si>
    <t>Pit Earth Excavation</t>
  </si>
  <si>
    <t>{BACKFILLING AND DISPOSAL}</t>
  </si>
  <si>
    <t>24</t>
  </si>
  <si>
    <t>Earth backfilling.</t>
  </si>
  <si>
    <t>25</t>
  </si>
  <si>
    <t>Disposal of excavated soil off Site</t>
  </si>
  <si>
    <t>{TEMPORARY DRAINAGE SYSTEM}</t>
  </si>
  <si>
    <t>26</t>
  </si>
  <si>
    <t>Allow for the temporary drainage system.</t>
  </si>
  <si>
    <t>27</t>
  </si>
  <si>
    <t>Allow for all other works and costs necessary for completion of the "EXCAVATION AND BACKFILLING" works.</t>
  </si>
  <si>
    <t>《2.3 - Reinforced Concrete Works》</t>
  </si>
  <si>
    <t>{GRADE OF REINFORCED CONCRETE}</t>
  </si>
  <si>
    <t>28</t>
  </si>
  <si>
    <t>Sand cushion under pile caps</t>
  </si>
  <si>
    <t>29</t>
  </si>
  <si>
    <t>300 mm thick graded crushed stone bedding layer, compacted in layers; place each succeeding layer only after the preceding layer has passed inspection; compaction greater than 95%; ground bearing capacity ≥ 100 kPa.</t>
  </si>
  <si>
    <t>30</t>
  </si>
  <si>
    <t>31</t>
  </si>
  <si>
    <t>f'c(MPa)35 reinforced concrete pile caps</t>
  </si>
  <si>
    <t>Pile Caps and Pile Capping Beams</t>
  </si>
  <si>
    <t>32</t>
  </si>
  <si>
    <t>f'c(MPa)35 reinforced concrete foundation beams</t>
  </si>
  <si>
    <t>Reinforced Concrete Beams</t>
  </si>
  <si>
    <t>33</t>
  </si>
  <si>
    <t>f'c(MPa)35 reinforced concrete raft slab</t>
  </si>
  <si>
    <t>Solid Floor Slabs</t>
  </si>
  <si>
    <t>{Formwork}</t>
  </si>
  <si>
    <t>34</t>
  </si>
  <si>
    <t>Formwork to concrete blinding</t>
  </si>
  <si>
    <t>M2</t>
  </si>
  <si>
    <t>Foundation Formwork</t>
  </si>
  <si>
    <t>35</t>
  </si>
  <si>
    <t>Formwork to pile caps</t>
  </si>
  <si>
    <t>36</t>
  </si>
  <si>
    <t>Formwork to foundation beams</t>
  </si>
  <si>
    <t>37</t>
  </si>
  <si>
    <t>Summary</t>
    <phoneticPr fontId="1" type="noConversion"/>
  </si>
  <si>
    <t/>
  </si>
  <si>
    <t>暂列金和配合费</t>
  </si>
  <si>
    <t/>
  </si>
  <si>
    <r>
      <rPr>
        <b/>
        <sz val="11"/>
        <color theme="1"/>
        <rFont val="宋体"/>
        <family val="2"/>
      </rPr>
      <t>《防水保温防腐》</t>
    </r>
  </si>
  <si>
    <t>AI RATE</t>
    <phoneticPr fontId="1" type="noConversion"/>
  </si>
  <si>
    <t>AI NORM</t>
    <phoneticPr fontId="1" type="noConversion"/>
  </si>
  <si>
    <t>Rate</t>
  </si>
  <si>
    <t>Unit Conv Formula</t>
  </si>
  <si>
    <t>Conv</t>
  </si>
  <si>
    <t/>
  </si>
  <si>
    <t/>
  </si>
  <si>
    <t/>
  </si>
  <si>
    <t/>
  </si>
  <si>
    <t/>
  </si>
  <si>
    <t/>
  </si>
  <si>
    <t/>
  </si>
  <si>
    <t/>
  </si>
  <si>
    <t/>
  </si>
  <si>
    <t/>
  </si>
  <si>
    <t/>
  </si>
  <si>
    <t/>
  </si>
  <si>
    <t/>
  </si>
  <si>
    <t/>
  </si>
  <si>
    <t/>
  </si>
  <si>
    <t/>
  </si>
  <si>
    <t/>
  </si>
  <si>
    <t/>
  </si>
  <si>
    <t/>
  </si>
  <si>
    <t/>
  </si>
  <si>
    <t/>
  </si>
  <si>
    <t/>
  </si>
  <si>
    <t/>
  </si>
  <si>
    <t/>
  </si>
  <si>
    <t>套价</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</si>
  <si>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</si>
  <si>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</si>
  <si>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</si>
  <si>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</si>
  <si>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</si>
  <si>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</si>
  <si>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</si>
  <si>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</si>
  <si>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</si>
  <si>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</si>
  <si>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</si>
  <si>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</si>
  <si>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</si>
  <si>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</si>
  <si>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</si>
  <si>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</si>
  <si>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</si>
  <si>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</si>
  <si>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</si>
  <si>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</si>
  <si>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</si>
  <si>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</si>
  <si>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</si>
  <si>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</si>
  <si>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</si>
  <si>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</si>
  <si>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</si>
  <si>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</si>
  <si>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</si>
  <si>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</si>
  <si>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</si>
  <si>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</si>
  <si>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</si>
  <si>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</si>
  <si>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</si>
  <si>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</si>
  <si>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</si>
  <si>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</si>
  <si>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</si>
  <si>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</si>
  <si>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</si>
  <si>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</si>
  <si>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</si>
  <si>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</si>
  <si>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求和项:Qty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</si>
</sst>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 #,##0.00_ ;_ * \-#,##0.00_ ;_ * &quot;-&quot;??_ ;_ @_ "/>
    <numFmt numFmtId="176" formatCode="_ * #,##0.00_ ;_ * \-#,##0.00_ ;_ * &quot;-&quot;??_ ;_ @\ "/>
    <numFmt numFmtId="177" formatCode="_ * #,##0.000_ ;_ * \-#,##0.000_ ;_ * &quot;-&quot;???_ ;_ @\ "/>
    <numFmt numFmtId="178" formatCode="\ #,##0_ ;[Red]\ \-#,##0_ ;_ &quot;&quot;&quot;&quot;?_ ;@"/>
    <numFmt numFmtId="179" formatCode="[$-409]mmm/yy;@"/>
    <numFmt numFmtId="180" formatCode="[&lt;=-100000000]\-0\.00,,&quot;亿元&quot;;[&gt;=100000000]0\.00,,&quot;亿元&quot;;0\.0,&quot;万元&quot;"/>
    <numFmt numFmtId="181" formatCode="_-[$€-C07]\ * #,##0.00_-;\-[$€-C07]\ * #,##0.00_-;_-[$€-C07]\ * &quot;-&quot;??_-;_-@_-"/>
    <numFmt numFmtId="182" formatCode="\ #,##0_ ;[Red]\ \-#,##0_ ;_ &quot;-&quot;??_ ;@"/>
    <numFmt numFmtId="183" formatCode="_ * #,##0.000_ ;[Red]_ * \-#,##0.000_ ;_ * &quot;&quot;???_ ;_ @\ "/>
    <numFmt numFmtId="184" formatCode="_ * #,##0.00_ ;[Red]_ * \-#,##0.00_ ;_ * &quot;&quot;??_ ;_ @\ "/>
  </numFmts>
  <fonts count="54">
    <font>
      <sz val="11"/>
      <color theme="1"/>
      <name val="宋体"/>
      <family val="2"/>
      <scheme val="minor"/>
    </font>
    <font>
      <sz val="9"/>
      <name val="宋体"/>
      <family val="3"/>
      <charset val="134"/>
      <scheme val="minor"/>
    </font>
    <font>
      <b/>
      <sz val="16"/>
      <name val="Microsoft YaHei"/>
      <family val="2"/>
      <charset val="134"/>
    </font>
    <font>
      <sz val="11"/>
      <color theme="1"/>
      <name val="Microsoft YaHei"/>
      <family val="2"/>
      <charset val="134"/>
    </font>
    <font>
      <b/>
      <sz val="11"/>
      <color theme="1"/>
      <name val="Microsoft YaHei"/>
      <family val="2"/>
      <charset val="134"/>
    </font>
    <font>
      <b/>
      <sz val="11"/>
      <color theme="0" tint="-0.34998626667073579"/>
      <name val="Microsoft YaHei"/>
      <family val="2"/>
      <charset val="134"/>
    </font>
    <font>
      <sz val="11"/>
      <color theme="1"/>
      <name val="Microsoft YaHei UI"/>
      <family val="2"/>
      <charset val="134"/>
    </font>
    <font>
      <b/>
      <sz val="12"/>
      <color theme="1"/>
      <name val="Microsoft YaHei"/>
      <family val="2"/>
      <charset val="134"/>
    </font>
    <font>
      <b/>
      <sz val="11"/>
      <color theme="1"/>
      <name val="Microsoft YaHei UI"/>
      <family val="2"/>
      <charset val="134"/>
    </font>
    <font>
      <sz val="11"/>
      <name val="Calibri"/>
      <family val="2"/>
    </font>
    <font>
      <sz val="11"/>
      <color theme="1"/>
      <name val="宋体"/>
      <family val="2"/>
      <scheme val="minor"/>
    </font>
    <font>
      <sz val="12"/>
      <name val="宋体"/>
      <family val="3"/>
      <charset val="134"/>
    </font>
    <font>
      <sz val="10"/>
      <name val="Arial"/>
      <family val="2"/>
    </font>
    <font>
      <sz val="11"/>
      <color indexed="8"/>
      <name val="Calibri"/>
      <family val="2"/>
    </font>
    <font>
      <sz val="11"/>
      <color theme="1"/>
      <name val="宋体"/>
      <family val="3"/>
      <charset val="134"/>
      <scheme val="minor"/>
    </font>
    <font>
      <sz val="11"/>
      <color rgb="FF000000"/>
      <name val="Calibri"/>
      <family val="2"/>
    </font>
    <font>
      <b/>
      <sz val="11"/>
      <color theme="0"/>
      <name val="Microsoft YaHei UI"/>
      <family val="2"/>
      <charset val="134"/>
    </font>
    <font>
      <b/>
      <sz val="11"/>
      <color theme="1"/>
      <name val="宋体"/>
      <family val="3"/>
      <charset val="134"/>
      <scheme val="minor"/>
    </font>
    <font>
      <b/>
      <sz val="9"/>
      <color theme="1"/>
      <name val="Microsoft YaHei UI"/>
      <family val="2"/>
      <charset val="134"/>
    </font>
    <font>
      <b/>
      <i/>
      <sz val="9"/>
      <color theme="0" tint="-0.499984740745262"/>
      <name val="Microsoft YaHei UI"/>
      <family val="2"/>
      <charset val="134"/>
    </font>
    <font>
      <b/>
      <sz val="9"/>
      <color rgb="FFFFFFFF"/>
      <name val="Microsoft YaHei UI"/>
      <family val="2"/>
      <charset val="134"/>
    </font>
    <font>
      <sz val="9"/>
      <color theme="1"/>
      <name val="宋体"/>
      <family val="2"/>
      <scheme val="minor"/>
    </font>
    <font>
      <b/>
      <sz val="9"/>
      <color rgb="FF1A1A1A"/>
      <name val="Microsoft YaHei UI"/>
      <family val="2"/>
      <charset val="134"/>
    </font>
    <font>
      <sz val="9"/>
      <color theme="1"/>
      <name val="Microsoft YaHei UI"/>
      <family val="2"/>
      <charset val="134"/>
    </font>
    <font>
      <b/>
      <sz val="9"/>
      <color theme="0"/>
      <name val="Microsoft YaHei UI"/>
      <family val="2"/>
      <charset val="134"/>
    </font>
    <font>
      <b/>
      <sz val="9"/>
      <color theme="1"/>
      <name val="宋体"/>
      <family val="2"/>
      <scheme val="minor"/>
    </font>
    <font>
      <b/>
      <sz val="11"/>
      <color theme="1"/>
      <name val="宋体"/>
      <family val="2"/>
      <scheme val="minor"/>
    </font>
    <font>
      <b/>
      <sz val="11"/>
      <color theme="0"/>
      <name val="宋体"/>
      <family val="2"/>
    </font>
    <font>
      <sz val="11"/>
      <color theme="1"/>
      <name val="Times New Roman"/>
      <family val="1"/>
    </font>
    <font>
      <sz val="9"/>
      <name val="Arial"/>
      <family val="2"/>
    </font>
    <font>
      <b/>
      <sz val="11"/>
      <name val="Times New Roman"/>
      <family val="1"/>
    </font>
    <font>
      <b/>
      <sz val="11"/>
      <name val="Microsoft YaHei UI"/>
      <family val="2"/>
      <charset val="134"/>
    </font>
    <font>
      <sz val="11"/>
      <name val="Times New Roman"/>
      <family val="1"/>
    </font>
    <font>
      <sz val="11"/>
      <name val="Microsoft YaHei UI"/>
      <family val="2"/>
      <charset val="134"/>
    </font>
    <font>
      <sz val="11"/>
      <name val="宋体"/>
      <family val="1"/>
      <charset val="134"/>
    </font>
    <font>
      <sz val="11"/>
      <color theme="1"/>
      <name val="宋体"/>
      <family val="2"/>
    </font>
    <font>
      <b/>
      <sz val="12"/>
      <color theme="0"/>
      <name val="Microsoft YaHei UI"/>
      <family val="2"/>
      <charset val="134"/>
    </font>
    <font>
      <b/>
      <i/>
      <sz val="9"/>
      <color theme="0"/>
      <name val="Microsoft YaHei UI"/>
      <family val="2"/>
      <charset val="134"/>
    </font>
    <font>
      <b/>
      <sz val="11"/>
      <color theme="0"/>
      <name val="Microsoft YaHei"/>
      <family val="2"/>
    </font>
    <font>
      <b/>
      <sz val="11"/>
      <color theme="0"/>
      <name val="Microsoft YaHei"/>
      <family val="2"/>
      <charset val="134"/>
    </font>
    <font>
      <b/>
      <sz val="11"/>
      <color rgb="FFFFFFFF"/>
      <name val="Microsoft YaHei"/>
      <family val="2"/>
    </font>
    <font>
      <b/>
      <sz val="11"/>
      <color rgb="FFFFFFFF"/>
      <name val="Microsoft YaHei UI"/>
      <family val="2"/>
      <charset val="134"/>
    </font>
    <font>
      <b/>
      <sz val="12"/>
      <name val="Microsoft YaHei UI"/>
      <family val="2"/>
      <charset val="134"/>
    </font>
    <font>
      <sz val="11"/>
      <name val="宋体"/>
      <family val="2"/>
      <scheme val="minor"/>
    </font>
    <font>
      <b/>
      <sz val="11"/>
      <color theme="1"/>
      <name val="Times New Roman"/>
      <family val="1"/>
    </font>
    <font>
      <b/>
      <sz val="11"/>
      <color theme="1"/>
      <name val="宋体"/>
      <family val="2"/>
    </font>
    <font>
      <sz val="16"/>
      <color theme="1"/>
      <name val="Microsoft YaHei"/>
      <family val="2"/>
      <charset val="134"/>
    </font>
    <font>
      <b/>
      <sz val="16"/>
      <color theme="1"/>
      <name val="Microsoft YaHei"/>
      <family val="2"/>
      <charset val="134"/>
    </font>
    <font>
      <sz val="16"/>
      <color theme="1"/>
      <name val="宋体"/>
      <family val="2"/>
      <scheme val="minor"/>
    </font>
    <font>
      <b/>
      <sz val="16"/>
      <name val="Microsoft YaHei UI"/>
      <family val="2"/>
      <charset val="134"/>
    </font>
    <font>
      <sz val="11"/>
      <color theme="0" tint="-0.34998626667073579"/>
      <name val="Microsoft YaHei UI"/>
      <family val="2"/>
      <charset val="134"/>
    </font>
    <font>
      <b/>
      <sz val="11"/>
      <color theme="0" tint="-0.34998626667073579"/>
      <name val="Microsoft YaHei UI"/>
      <family val="2"/>
      <charset val="134"/>
    </font>
    <font>
      <b/>
      <sz val="12"/>
      <color theme="1"/>
      <name val="Microsoft YaHei UI"/>
      <family val="2"/>
      <charset val="134"/>
    </font>
    <font>
      <b/>
      <sz val="11"/>
      <name val="Microsoft YaHei"/>
      <family val="2"/>
      <charset val="134"/>
    </font>
  </fonts>
  <fills count="25">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333F4F"/>
        <bgColor indexed="64"/>
      </patternFill>
    </fill>
    <fill>
      <patternFill patternType="solid">
        <fgColor rgb="FFD9E1F2"/>
        <bgColor indexed="64"/>
      </patternFill>
    </fill>
    <fill>
      <patternFill patternType="solid">
        <fgColor rgb="FFFBE5D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1" tint="0.249977111117893"/>
        <bgColor theme="1" tint="0.249977111117893"/>
      </patternFill>
    </fill>
    <fill>
      <patternFill patternType="solid">
        <fgColor theme="4" tint="0.59999389629810485"/>
        <bgColor theme="4" tint="0.59999389629810485"/>
      </patternFill>
    </fill>
    <fill>
      <patternFill patternType="solid">
        <fgColor theme="0" tint="-0.14999847407452621"/>
        <bgColor indexed="64"/>
      </patternFill>
    </fill>
    <fill>
      <patternFill patternType="solid">
        <fgColor theme="4" tint="-0.249977111117893"/>
        <bgColor theme="4" tint="-0.249977111117893"/>
      </patternFill>
    </fill>
    <fill>
      <patternFill patternType="solid">
        <fgColor theme="4" tint="0.79998168889431442"/>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5" tint="-0.499984740745262"/>
        <bgColor rgb="FFC0504D"/>
      </patternFill>
    </fill>
    <fill>
      <patternFill patternType="solid">
        <fgColor theme="5" tint="-0.499984740745262"/>
        <bgColor rgb="FF2E75B6"/>
      </patternFill>
    </fill>
    <fill>
      <patternFill patternType="solid">
        <fgColor theme="3"/>
        <bgColor indexed="64"/>
      </patternFill>
    </fill>
    <fill>
      <patternFill patternType="solid">
        <fgColor theme="4" tint="0.59999389629810485"/>
        <bgColor indexed="64"/>
      </patternFill>
    </fill>
  </fills>
  <borders count="26">
    <border>
      <left/>
      <right/>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top style="thin">
        <color theme="4" tint="-0.249977111117893"/>
      </top>
      <bottom style="thin">
        <color theme="4" tint="0.79998168889431442"/>
      </bottom>
      <diagonal/>
    </border>
    <border>
      <left style="hair">
        <color auto="1"/>
      </left>
      <right style="hair">
        <color auto="1"/>
      </right>
      <top style="hair">
        <color auto="1"/>
      </top>
      <bottom style="hair">
        <color auto="1"/>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249977111117893"/>
      </left>
      <right/>
      <top/>
      <bottom/>
      <diagonal/>
    </border>
    <border>
      <left/>
      <right style="thin">
        <color theme="0" tint="-0.249977111117893"/>
      </right>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14999847407452621"/>
      </bottom>
      <diagonal/>
    </border>
    <border>
      <left style="thin">
        <color theme="0" tint="-0.249977111117893"/>
      </left>
      <right style="thin">
        <color theme="0" tint="-0.14999847407452621"/>
      </right>
      <top style="thin">
        <color theme="0" tint="-0.249977111117893"/>
      </top>
      <bottom style="thin">
        <color theme="0" tint="-0.14999847407452621"/>
      </bottom>
      <diagonal/>
    </border>
    <border>
      <left/>
      <right style="thin">
        <color theme="0" tint="-0.14999847407452621"/>
      </right>
      <top style="thin">
        <color rgb="FFD9D9D9"/>
      </top>
      <bottom style="thin">
        <color theme="0" tint="-0.14999847407452621"/>
      </bottom>
      <diagonal/>
    </border>
    <border>
      <left/>
      <right/>
      <top/>
      <bottom style="thin">
        <color theme="4" tint="0.79998168889431442"/>
      </bottom>
      <diagonal/>
    </border>
    <border>
      <left style="thin">
        <color theme="0" tint="-0.499984740745262"/>
      </left>
      <right style="thin">
        <color theme="0" tint="-0.499984740745262"/>
      </right>
      <top/>
      <bottom/>
      <diagonal/>
    </border>
  </borders>
  <cellStyleXfs count="31">
    <xf numFmtId="0" fontId="0" fillId="0" borderId="0"/>
    <xf numFmtId="0" fontId="9" fillId="0" borderId="0"/>
    <xf numFmtId="0" fontId="10" fillId="0" borderId="0">
      <alignment vertical="center"/>
    </xf>
    <xf numFmtId="179" fontId="11" fillId="0" borderId="0">
      <alignment vertical="center"/>
    </xf>
    <xf numFmtId="43" fontId="12" fillId="0" borderId="0"/>
    <xf numFmtId="0" fontId="12" fillId="0" borderId="0"/>
    <xf numFmtId="43" fontId="11" fillId="0" borderId="0">
      <alignment vertical="center"/>
    </xf>
    <xf numFmtId="179" fontId="11" fillId="0" borderId="0">
      <alignment vertical="center"/>
    </xf>
    <xf numFmtId="9" fontId="10" fillId="0" borderId="0"/>
    <xf numFmtId="179" fontId="13" fillId="0" borderId="0">
      <alignment vertical="center"/>
    </xf>
    <xf numFmtId="43" fontId="10" fillId="0" borderId="0"/>
    <xf numFmtId="9" fontId="14" fillId="0" borderId="0">
      <alignment vertical="center"/>
    </xf>
    <xf numFmtId="9" fontId="11" fillId="0" borderId="0">
      <alignment vertical="center"/>
    </xf>
    <xf numFmtId="9" fontId="12" fillId="0" borderId="0"/>
    <xf numFmtId="0" fontId="14" fillId="0" borderId="0">
      <alignment vertical="center"/>
    </xf>
    <xf numFmtId="0" fontId="10" fillId="0" borderId="0">
      <alignment vertical="center"/>
    </xf>
    <xf numFmtId="0" fontId="10" fillId="0" borderId="0">
      <alignment vertical="center"/>
    </xf>
    <xf numFmtId="0" fontId="11" fillId="0" borderId="0"/>
    <xf numFmtId="43" fontId="10" fillId="0" borderId="0"/>
    <xf numFmtId="43" fontId="10" fillId="0" borderId="0">
      <alignment vertical="center"/>
    </xf>
    <xf numFmtId="43" fontId="10" fillId="0" borderId="0">
      <alignment vertical="center"/>
    </xf>
    <xf numFmtId="0" fontId="14" fillId="0" borderId="0">
      <alignment vertical="center"/>
    </xf>
    <xf numFmtId="0" fontId="10" fillId="0" borderId="0">
      <alignment vertical="center"/>
    </xf>
    <xf numFmtId="43" fontId="10" fillId="0" borderId="0">
      <alignment vertical="center"/>
    </xf>
    <xf numFmtId="9" fontId="10" fillId="0" borderId="0">
      <alignment vertical="center"/>
    </xf>
    <xf numFmtId="179" fontId="10" fillId="0" borderId="0"/>
    <xf numFmtId="0" fontId="10" fillId="0" borderId="0"/>
    <xf numFmtId="9" fontId="10" fillId="0" borderId="0">
      <alignment vertical="center"/>
    </xf>
    <xf numFmtId="181" fontId="14" fillId="0" borderId="0">
      <alignment vertical="center"/>
    </xf>
    <xf numFmtId="181" fontId="15" fillId="0" borderId="0"/>
    <xf numFmtId="181" fontId="29" fillId="0" borderId="6">
      <alignment horizontal="left" vertical="center"/>
      <protection locked="0"/>
    </xf>
  </cellStyleXfs>
  <cellXfs count="203">
    <xf numFmtId="0" fontId="0" fillId="0" borderId="0" xfId="0"/>
    <xf numFmtId="0" fontId="2" fillId="0" borderId="0" xfId="0" applyFont="1"/>
    <xf numFmtId="0" fontId="3" fillId="0" borderId="0" xfId="0" applyFont="1" applyAlignment="1">
      <alignment vertical="center"/>
    </xf>
    <xf numFmtId="0" fontId="6" fillId="0" borderId="0" xfId="0" applyFont="1"/>
    <xf numFmtId="0" fontId="4" fillId="0" borderId="0" xfId="0" applyFont="1"/>
    <xf numFmtId="176" fontId="6" fillId="0" borderId="0" xfId="0" applyNumberFormat="1" applyFont="1" applyAlignment="1">
      <alignment shrinkToFit="1"/>
    </xf>
    <xf numFmtId="0" fontId="6" fillId="0" borderId="0" xfId="0" applyFont="1" applyAlignment="1">
      <alignment horizontal="center" vertical="center"/>
    </xf>
    <xf numFmtId="0" fontId="8" fillId="0" borderId="0" xfId="0" pivotButton="1" applyFont="1" applyAlignment="1">
      <alignment horizontal="center" vertical="center"/>
    </xf>
    <xf numFmtId="0" fontId="0" fillId="0" borderId="0" xfId="0" applyAlignment="1">
      <alignment wrapText="1"/>
    </xf>
    <xf numFmtId="0" fontId="8" fillId="0" borderId="0" xfId="0" applyFont="1"/>
    <xf numFmtId="0" fontId="0" fillId="0" borderId="0" xfId="0" applyAlignment="1">
      <alignment horizontal="center" vertical="center"/>
    </xf>
    <xf numFmtId="178" fontId="6" fillId="0" borderId="0" xfId="0" applyNumberFormat="1" applyFont="1" applyAlignment="1">
      <alignment shrinkToFit="1"/>
    </xf>
    <xf numFmtId="0" fontId="8" fillId="0" borderId="0" xfId="0" pivotButton="1" applyFont="1" applyAlignment="1">
      <alignment wrapText="1"/>
    </xf>
    <xf numFmtId="0" fontId="6" fillId="0" borderId="0" xfId="0" pivotButton="1" applyFont="1" applyAlignment="1">
      <alignment wrapText="1"/>
    </xf>
    <xf numFmtId="0" fontId="8" fillId="0" borderId="0" xfId="0" pivotButton="1" applyFont="1" applyAlignment="1">
      <alignment horizontal="center" vertical="center" wrapText="1"/>
    </xf>
    <xf numFmtId="0" fontId="8" fillId="12" borderId="1" xfId="0" applyFont="1" applyFill="1" applyBorder="1"/>
    <xf numFmtId="0" fontId="8" fillId="10" borderId="0" xfId="0" applyFont="1" applyFill="1"/>
    <xf numFmtId="0" fontId="6" fillId="10" borderId="0" xfId="0" applyFont="1" applyFill="1"/>
    <xf numFmtId="178" fontId="6" fillId="10" borderId="0" xfId="0" applyNumberFormat="1" applyFont="1" applyFill="1" applyAlignment="1">
      <alignment shrinkToFit="1"/>
    </xf>
    <xf numFmtId="178" fontId="6" fillId="10" borderId="2" xfId="0" applyNumberFormat="1" applyFont="1" applyFill="1" applyBorder="1" applyAlignment="1">
      <alignment shrinkToFit="1"/>
    </xf>
    <xf numFmtId="0" fontId="16" fillId="11" borderId="3" xfId="0" applyFont="1" applyFill="1" applyBorder="1" applyAlignment="1">
      <alignment horizontal="center" vertical="center"/>
    </xf>
    <xf numFmtId="178" fontId="16" fillId="11" borderId="4" xfId="0" applyNumberFormat="1" applyFont="1" applyFill="1" applyBorder="1" applyAlignment="1">
      <alignment shrinkToFit="1"/>
    </xf>
    <xf numFmtId="0" fontId="8" fillId="10" borderId="0" xfId="0" applyFont="1" applyFill="1" applyAlignment="1">
      <alignment horizontal="left"/>
    </xf>
    <xf numFmtId="0" fontId="0" fillId="0" borderId="0" xfId="0" applyAlignment="1">
      <alignment horizontal="left"/>
    </xf>
    <xf numFmtId="0" fontId="16" fillId="11" borderId="4" xfId="0" applyFont="1" applyFill="1" applyBorder="1" applyAlignment="1">
      <alignment horizontal="left" vertical="center"/>
    </xf>
    <xf numFmtId="0" fontId="18" fillId="0" borderId="0" xfId="0" applyFont="1"/>
    <xf numFmtId="0" fontId="19" fillId="0" borderId="0" xfId="0" applyFont="1"/>
    <xf numFmtId="0" fontId="21" fillId="0" borderId="0" xfId="0" applyFont="1"/>
    <xf numFmtId="0" fontId="21" fillId="0" borderId="0" xfId="0" applyFont="1" applyAlignment="1">
      <alignment horizontal="center"/>
    </xf>
    <xf numFmtId="180" fontId="21" fillId="0" borderId="0" xfId="0" applyNumberFormat="1" applyFont="1" applyAlignment="1">
      <alignment shrinkToFit="1"/>
    </xf>
    <xf numFmtId="0" fontId="20" fillId="4" borderId="0" xfId="0" applyFont="1" applyFill="1" applyAlignment="1">
      <alignment horizontal="center" vertical="top"/>
    </xf>
    <xf numFmtId="177" fontId="20" fillId="4" borderId="0" xfId="0" applyNumberFormat="1" applyFont="1" applyFill="1" applyAlignment="1">
      <alignment vertical="top" shrinkToFit="1"/>
    </xf>
    <xf numFmtId="0" fontId="22" fillId="5" borderId="0" xfId="0" applyFont="1" applyFill="1" applyAlignment="1">
      <alignment horizontal="center" vertical="top"/>
    </xf>
    <xf numFmtId="177" fontId="22" fillId="5" borderId="0" xfId="0" applyNumberFormat="1" applyFont="1" applyFill="1" applyAlignment="1">
      <alignment vertical="top" shrinkToFit="1"/>
    </xf>
    <xf numFmtId="0" fontId="23" fillId="0" borderId="0" xfId="0" applyFont="1" applyAlignment="1">
      <alignment horizontal="center" vertical="top"/>
    </xf>
    <xf numFmtId="0" fontId="22" fillId="6" borderId="0" xfId="0" applyFont="1" applyFill="1" applyAlignment="1">
      <alignment horizontal="center" vertical="top"/>
    </xf>
    <xf numFmtId="177" fontId="22" fillId="6" borderId="0" xfId="0" applyNumberFormat="1" applyFont="1" applyFill="1" applyAlignment="1">
      <alignment vertical="top" shrinkToFit="1"/>
    </xf>
    <xf numFmtId="176" fontId="23" fillId="0" borderId="0" xfId="0" applyNumberFormat="1" applyFont="1" applyAlignment="1">
      <alignment vertical="top" shrinkToFit="1"/>
    </xf>
    <xf numFmtId="0" fontId="23" fillId="0" borderId="0" xfId="0" applyFont="1" applyAlignment="1">
      <alignment vertical="top"/>
    </xf>
    <xf numFmtId="0" fontId="24" fillId="9" borderId="0" xfId="0" applyFont="1" applyFill="1" applyAlignment="1">
      <alignment horizontal="center" vertical="top"/>
    </xf>
    <xf numFmtId="0" fontId="24" fillId="9" borderId="0" xfId="0" applyFont="1" applyFill="1" applyAlignment="1">
      <alignment vertical="top"/>
    </xf>
    <xf numFmtId="176" fontId="20" fillId="4" borderId="0" xfId="0" applyNumberFormat="1" applyFont="1" applyFill="1" applyAlignment="1">
      <alignment vertical="top" shrinkToFit="1"/>
    </xf>
    <xf numFmtId="0" fontId="20" fillId="4" borderId="0" xfId="0" applyFont="1" applyFill="1" applyAlignment="1">
      <alignment vertical="top"/>
    </xf>
    <xf numFmtId="176" fontId="22" fillId="5" borderId="0" xfId="0" applyNumberFormat="1" applyFont="1" applyFill="1" applyAlignment="1">
      <alignment vertical="top" shrinkToFit="1"/>
    </xf>
    <xf numFmtId="0" fontId="22" fillId="5" borderId="0" xfId="0" applyFont="1" applyFill="1" applyAlignment="1">
      <alignment vertical="top"/>
    </xf>
    <xf numFmtId="176" fontId="22" fillId="6" borderId="0" xfId="0" applyNumberFormat="1" applyFont="1" applyFill="1" applyAlignment="1">
      <alignment vertical="top" shrinkToFit="1"/>
    </xf>
    <xf numFmtId="0" fontId="22" fillId="6" borderId="0" xfId="0" applyFont="1" applyFill="1" applyAlignment="1">
      <alignment vertical="top"/>
    </xf>
    <xf numFmtId="177" fontId="24" fillId="9" borderId="0" xfId="0" applyNumberFormat="1" applyFont="1" applyFill="1" applyAlignment="1">
      <alignment vertical="top" shrinkToFit="1"/>
    </xf>
    <xf numFmtId="176" fontId="24" fillId="9" borderId="0" xfId="0" applyNumberFormat="1" applyFont="1" applyFill="1" applyAlignment="1">
      <alignment vertical="top" shrinkToFit="1"/>
    </xf>
    <xf numFmtId="180" fontId="24" fillId="9" borderId="0" xfId="0" applyNumberFormat="1" applyFont="1" applyFill="1" applyAlignment="1">
      <alignment vertical="top" shrinkToFit="1"/>
    </xf>
    <xf numFmtId="178" fontId="24" fillId="9" borderId="0" xfId="0" applyNumberFormat="1" applyFont="1" applyFill="1" applyAlignment="1">
      <alignment vertical="top" shrinkToFit="1"/>
    </xf>
    <xf numFmtId="176" fontId="18" fillId="0" borderId="0" xfId="0" applyNumberFormat="1" applyFont="1" applyAlignment="1">
      <alignment vertical="top" shrinkToFit="1"/>
    </xf>
    <xf numFmtId="180" fontId="25" fillId="0" borderId="0" xfId="0" applyNumberFormat="1" applyFont="1" applyAlignment="1">
      <alignment shrinkToFit="1"/>
    </xf>
    <xf numFmtId="180" fontId="0" fillId="0" borderId="0" xfId="0" applyNumberFormat="1" applyAlignment="1">
      <alignment shrinkToFit="1"/>
    </xf>
    <xf numFmtId="180" fontId="6" fillId="0" borderId="0" xfId="0" applyNumberFormat="1" applyFont="1" applyAlignment="1">
      <alignment shrinkToFit="1"/>
    </xf>
    <xf numFmtId="0" fontId="8" fillId="13" borderId="1" xfId="0" applyFont="1" applyFill="1" applyBorder="1"/>
    <xf numFmtId="0" fontId="8" fillId="13" borderId="0" xfId="0" applyFont="1" applyFill="1" applyAlignment="1">
      <alignment horizontal="left"/>
    </xf>
    <xf numFmtId="0" fontId="8" fillId="13" borderId="0" xfId="0" applyFont="1" applyFill="1"/>
    <xf numFmtId="178" fontId="6" fillId="13" borderId="0" xfId="0" applyNumberFormat="1" applyFont="1" applyFill="1" applyAlignment="1">
      <alignment shrinkToFit="1"/>
    </xf>
    <xf numFmtId="178" fontId="6" fillId="13" borderId="2" xfId="0" applyNumberFormat="1" applyFont="1" applyFill="1" applyBorder="1" applyAlignment="1">
      <alignment shrinkToFit="1"/>
    </xf>
    <xf numFmtId="0" fontId="26" fillId="0" borderId="0" xfId="0" applyFont="1"/>
    <xf numFmtId="178" fontId="8" fillId="10" borderId="0" xfId="0" applyNumberFormat="1" applyFont="1" applyFill="1"/>
    <xf numFmtId="178" fontId="26" fillId="0" borderId="0" xfId="0" applyNumberFormat="1" applyFont="1"/>
    <xf numFmtId="0" fontId="0" fillId="0" borderId="0" xfId="0" applyAlignment="1">
      <alignment horizontal="right"/>
    </xf>
    <xf numFmtId="9" fontId="17" fillId="0" borderId="0" xfId="27" applyFont="1">
      <alignment vertical="center"/>
    </xf>
    <xf numFmtId="178" fontId="8" fillId="10" borderId="2" xfId="0" applyNumberFormat="1" applyFont="1" applyFill="1" applyBorder="1" applyAlignment="1">
      <alignment shrinkToFit="1"/>
    </xf>
    <xf numFmtId="0" fontId="8" fillId="0" borderId="0" xfId="0" pivotButton="1" applyFont="1" applyAlignment="1">
      <alignment horizontal="center" wrapText="1"/>
    </xf>
    <xf numFmtId="0" fontId="6" fillId="0" borderId="0" xfId="0" pivotButton="1" applyFont="1" applyAlignment="1">
      <alignment horizontal="center" wrapText="1"/>
    </xf>
    <xf numFmtId="9" fontId="17" fillId="0" borderId="0" xfId="27" applyFont="1" applyAlignment="1">
      <alignment horizontal="center" vertical="center"/>
    </xf>
    <xf numFmtId="0" fontId="0" fillId="0" borderId="0" xfId="0" applyAlignment="1">
      <alignment horizontal="center" wrapText="1"/>
    </xf>
    <xf numFmtId="0" fontId="28" fillId="0" borderId="0" xfId="0" applyFont="1" applyAlignment="1">
      <alignment horizontal="center" vertical="center"/>
    </xf>
    <xf numFmtId="0" fontId="28" fillId="0" borderId="0" xfId="0" applyFont="1"/>
    <xf numFmtId="176" fontId="28" fillId="0" borderId="0" xfId="0" applyNumberFormat="1" applyFont="1" applyAlignment="1">
      <alignment shrinkToFit="1"/>
    </xf>
    <xf numFmtId="182" fontId="30" fillId="0" borderId="0" xfId="30" applyNumberFormat="1" applyFont="1" applyBorder="1" applyAlignment="1">
      <alignment horizontal="center" vertical="center" shrinkToFit="1"/>
      <protection locked="0"/>
    </xf>
    <xf numFmtId="182" fontId="30" fillId="0" borderId="0" xfId="30" applyNumberFormat="1" applyFont="1" applyBorder="1" applyAlignment="1">
      <alignment horizontal="left" vertical="center" shrinkToFit="1"/>
      <protection locked="0"/>
    </xf>
    <xf numFmtId="182" fontId="30" fillId="0" borderId="0" xfId="30" applyNumberFormat="1" applyFont="1" applyBorder="1" applyAlignment="1">
      <alignment horizontal="right" vertical="center" shrinkToFit="1"/>
      <protection locked="0"/>
    </xf>
    <xf numFmtId="182" fontId="32" fillId="0" borderId="0" xfId="30" applyNumberFormat="1" applyFont="1" applyBorder="1" applyAlignment="1">
      <alignment horizontal="center" vertical="center" shrinkToFit="1"/>
      <protection locked="0"/>
    </xf>
    <xf numFmtId="182" fontId="32" fillId="0" borderId="0" xfId="30" applyNumberFormat="1" applyFont="1" applyBorder="1" applyAlignment="1">
      <alignment horizontal="left" vertical="center" shrinkToFit="1"/>
      <protection locked="0"/>
    </xf>
    <xf numFmtId="182" fontId="32" fillId="0" borderId="0" xfId="30" applyNumberFormat="1" applyFont="1" applyBorder="1" applyAlignment="1">
      <alignment horizontal="right" vertical="center" shrinkToFit="1"/>
      <protection locked="0"/>
    </xf>
    <xf numFmtId="0" fontId="28" fillId="0" borderId="0" xfId="0" applyFont="1" applyAlignment="1">
      <alignment wrapText="1"/>
    </xf>
    <xf numFmtId="182" fontId="30" fillId="0" borderId="0" xfId="30" applyNumberFormat="1" applyFont="1" applyBorder="1" applyAlignment="1">
      <alignment horizontal="left" vertical="center" wrapText="1"/>
      <protection locked="0"/>
    </xf>
    <xf numFmtId="182" fontId="32" fillId="0" borderId="0" xfId="30" applyNumberFormat="1" applyFont="1" applyBorder="1" applyAlignment="1">
      <alignment horizontal="left" vertical="center" wrapText="1"/>
      <protection locked="0"/>
    </xf>
    <xf numFmtId="0" fontId="16" fillId="14" borderId="5" xfId="0" applyFont="1" applyFill="1" applyBorder="1" applyAlignment="1">
      <alignment wrapText="1"/>
    </xf>
    <xf numFmtId="177" fontId="36" fillId="16" borderId="0" xfId="0" applyNumberFormat="1" applyFont="1" applyFill="1" applyAlignment="1">
      <alignment horizontal="center" shrinkToFit="1"/>
    </xf>
    <xf numFmtId="0" fontId="36" fillId="16" borderId="0" xfId="0" applyFont="1" applyFill="1" applyAlignment="1">
      <alignment horizontal="center"/>
    </xf>
    <xf numFmtId="176" fontId="36" fillId="16" borderId="0" xfId="0" applyNumberFormat="1" applyFont="1" applyFill="1" applyAlignment="1">
      <alignment horizontal="left" shrinkToFit="1"/>
    </xf>
    <xf numFmtId="176" fontId="36" fillId="17" borderId="7" xfId="0" applyNumberFormat="1" applyFont="1" applyFill="1" applyBorder="1" applyAlignment="1">
      <alignment horizontal="center" shrinkToFit="1"/>
    </xf>
    <xf numFmtId="176" fontId="36" fillId="17" borderId="8" xfId="0" applyNumberFormat="1" applyFont="1" applyFill="1" applyBorder="1" applyAlignment="1">
      <alignment horizontal="left" shrinkToFit="1"/>
    </xf>
    <xf numFmtId="176" fontId="36" fillId="17" borderId="8" xfId="0" applyNumberFormat="1" applyFont="1" applyFill="1" applyBorder="1" applyAlignment="1">
      <alignment horizontal="center" shrinkToFit="1"/>
    </xf>
    <xf numFmtId="176" fontId="36" fillId="17" borderId="9" xfId="0" applyNumberFormat="1" applyFont="1" applyFill="1" applyBorder="1" applyAlignment="1">
      <alignment horizontal="center" shrinkToFit="1"/>
    </xf>
    <xf numFmtId="176" fontId="36" fillId="0" borderId="0" xfId="0" applyNumberFormat="1" applyFont="1" applyAlignment="1">
      <alignment horizontal="center" shrinkToFit="1"/>
    </xf>
    <xf numFmtId="176" fontId="36" fillId="18" borderId="10" xfId="0" applyNumberFormat="1" applyFont="1" applyFill="1" applyBorder="1" applyAlignment="1">
      <alignment horizontal="center" shrinkToFit="1"/>
    </xf>
    <xf numFmtId="176" fontId="36" fillId="18" borderId="11" xfId="0" applyNumberFormat="1" applyFont="1" applyFill="1" applyBorder="1" applyAlignment="1">
      <alignment horizontal="center" shrinkToFit="1"/>
    </xf>
    <xf numFmtId="176" fontId="36" fillId="18" borderId="12" xfId="0" applyNumberFormat="1" applyFont="1" applyFill="1" applyBorder="1" applyAlignment="1">
      <alignment horizontal="center" shrinkToFit="1"/>
    </xf>
    <xf numFmtId="0" fontId="36" fillId="19" borderId="10" xfId="0" applyFont="1" applyFill="1" applyBorder="1" applyAlignment="1">
      <alignment horizontal="center"/>
    </xf>
    <xf numFmtId="0" fontId="36" fillId="19" borderId="11" xfId="0" applyFont="1" applyFill="1" applyBorder="1" applyAlignment="1">
      <alignment horizontal="center"/>
    </xf>
    <xf numFmtId="0" fontId="36" fillId="19" borderId="12" xfId="0" applyFont="1" applyFill="1" applyBorder="1" applyAlignment="1">
      <alignment horizontal="center"/>
    </xf>
    <xf numFmtId="176" fontId="36" fillId="20" borderId="0" xfId="0" applyNumberFormat="1" applyFont="1" applyFill="1" applyAlignment="1">
      <alignment horizontal="center" shrinkToFit="1"/>
    </xf>
    <xf numFmtId="0" fontId="36" fillId="20" borderId="0" xfId="0" applyFont="1" applyFill="1" applyAlignment="1">
      <alignment horizontal="center"/>
    </xf>
    <xf numFmtId="0" fontId="36" fillId="0" borderId="0" xfId="0" applyFont="1" applyAlignment="1">
      <alignment horizontal="center"/>
    </xf>
    <xf numFmtId="183" fontId="37" fillId="16" borderId="0" xfId="0" applyNumberFormat="1" applyFont="1" applyFill="1" applyAlignment="1">
      <alignment horizontal="center" vertical="center" shrinkToFit="1"/>
    </xf>
    <xf numFmtId="183" fontId="37" fillId="17" borderId="13" xfId="0" applyNumberFormat="1" applyFont="1" applyFill="1" applyBorder="1" applyAlignment="1">
      <alignment horizontal="center" vertical="center" shrinkToFit="1"/>
    </xf>
    <xf numFmtId="183" fontId="37" fillId="17" borderId="0" xfId="0" applyNumberFormat="1" applyFont="1" applyFill="1" applyAlignment="1">
      <alignment horizontal="center" vertical="center" shrinkToFit="1"/>
    </xf>
    <xf numFmtId="183" fontId="37" fillId="17" borderId="14" xfId="0" applyNumberFormat="1" applyFont="1" applyFill="1" applyBorder="1" applyAlignment="1">
      <alignment horizontal="center" vertical="center" shrinkToFit="1"/>
    </xf>
    <xf numFmtId="183" fontId="19" fillId="0" borderId="0" xfId="0" applyNumberFormat="1" applyFont="1" applyAlignment="1">
      <alignment horizontal="center" vertical="center" shrinkToFit="1"/>
    </xf>
    <xf numFmtId="183" fontId="19" fillId="18" borderId="15" xfId="0" applyNumberFormat="1" applyFont="1" applyFill="1" applyBorder="1" applyAlignment="1">
      <alignment horizontal="center" vertical="center" shrinkToFit="1"/>
    </xf>
    <xf numFmtId="183" fontId="19" fillId="18" borderId="0" xfId="0" applyNumberFormat="1" applyFont="1" applyFill="1" applyAlignment="1">
      <alignment horizontal="center" vertical="center" shrinkToFit="1"/>
    </xf>
    <xf numFmtId="183" fontId="19" fillId="18" borderId="16" xfId="0" applyNumberFormat="1" applyFont="1" applyFill="1" applyBorder="1" applyAlignment="1">
      <alignment horizontal="center" vertical="center" shrinkToFit="1"/>
    </xf>
    <xf numFmtId="183" fontId="19" fillId="19" borderId="15" xfId="0" applyNumberFormat="1" applyFont="1" applyFill="1" applyBorder="1" applyAlignment="1">
      <alignment horizontal="center" vertical="center" shrinkToFit="1"/>
    </xf>
    <xf numFmtId="183" fontId="19" fillId="19" borderId="0" xfId="0" applyNumberFormat="1" applyFont="1" applyFill="1" applyAlignment="1">
      <alignment horizontal="center" vertical="center" shrinkToFit="1"/>
    </xf>
    <xf numFmtId="183" fontId="19" fillId="19" borderId="16" xfId="0" applyNumberFormat="1" applyFont="1" applyFill="1" applyBorder="1" applyAlignment="1">
      <alignment horizontal="center" vertical="center" shrinkToFit="1"/>
    </xf>
    <xf numFmtId="183" fontId="37" fillId="20" borderId="0" xfId="0" applyNumberFormat="1" applyFont="1" applyFill="1" applyAlignment="1">
      <alignment horizontal="center" vertical="center" shrinkToFit="1"/>
    </xf>
    <xf numFmtId="183" fontId="37" fillId="20" borderId="0" xfId="27" applyNumberFormat="1" applyFont="1" applyFill="1" applyAlignment="1">
      <alignment horizontal="center" vertical="center" shrinkToFit="1"/>
    </xf>
    <xf numFmtId="0" fontId="19" fillId="0" borderId="0" xfId="0" applyFont="1" applyAlignment="1">
      <alignment horizontal="center" vertical="center"/>
    </xf>
    <xf numFmtId="0" fontId="16" fillId="16" borderId="17" xfId="0" applyFont="1" applyFill="1" applyBorder="1" applyAlignment="1">
      <alignment horizontal="center" vertical="center" wrapText="1"/>
    </xf>
    <xf numFmtId="0" fontId="38" fillId="16" borderId="17" xfId="0" applyFont="1" applyFill="1" applyBorder="1" applyAlignment="1">
      <alignment horizontal="center" vertical="center" wrapText="1"/>
    </xf>
    <xf numFmtId="0" fontId="39" fillId="16" borderId="17" xfId="0" applyFont="1" applyFill="1" applyBorder="1" applyAlignment="1">
      <alignment horizontal="center" vertical="center"/>
    </xf>
    <xf numFmtId="176" fontId="38" fillId="16" borderId="17" xfId="0" applyNumberFormat="1" applyFont="1" applyFill="1" applyBorder="1" applyAlignment="1">
      <alignment horizontal="center" vertical="center" wrapText="1" shrinkToFit="1"/>
    </xf>
    <xf numFmtId="0" fontId="38" fillId="17" borderId="18" xfId="0" applyFont="1" applyFill="1" applyBorder="1" applyAlignment="1">
      <alignment horizontal="center" vertical="center" wrapText="1"/>
    </xf>
    <xf numFmtId="0" fontId="38" fillId="17" borderId="19" xfId="0" applyFont="1" applyFill="1" applyBorder="1" applyAlignment="1">
      <alignment horizontal="center" vertical="center" wrapText="1"/>
    </xf>
    <xf numFmtId="0" fontId="40" fillId="17" borderId="19" xfId="0" applyFont="1" applyFill="1" applyBorder="1" applyAlignment="1">
      <alignment horizontal="center" vertical="center" wrapText="1"/>
    </xf>
    <xf numFmtId="176" fontId="0" fillId="0" borderId="0" xfId="0" applyNumberFormat="1" applyAlignment="1">
      <alignment vertical="center" shrinkToFit="1"/>
    </xf>
    <xf numFmtId="176" fontId="40" fillId="18" borderId="20" xfId="0" applyNumberFormat="1" applyFont="1" applyFill="1" applyBorder="1" applyAlignment="1">
      <alignment horizontal="center" vertical="center" wrapText="1" shrinkToFit="1"/>
    </xf>
    <xf numFmtId="176" fontId="40" fillId="18" borderId="21" xfId="0" applyNumberFormat="1" applyFont="1" applyFill="1" applyBorder="1" applyAlignment="1">
      <alignment horizontal="center" vertical="center" wrapText="1" shrinkToFit="1"/>
    </xf>
    <xf numFmtId="176" fontId="40" fillId="18" borderId="22" xfId="0" applyNumberFormat="1" applyFont="1" applyFill="1" applyBorder="1" applyAlignment="1">
      <alignment horizontal="center" vertical="center" wrapText="1" shrinkToFit="1"/>
    </xf>
    <xf numFmtId="0" fontId="41" fillId="21" borderId="20" xfId="0" applyFont="1" applyFill="1" applyBorder="1" applyAlignment="1">
      <alignment horizontal="center" vertical="center" wrapText="1"/>
    </xf>
    <xf numFmtId="0" fontId="41" fillId="21" borderId="21" xfId="0" applyFont="1" applyFill="1" applyBorder="1" applyAlignment="1">
      <alignment horizontal="center" vertical="center" wrapText="1"/>
    </xf>
    <xf numFmtId="0" fontId="41" fillId="22" borderId="21" xfId="0" applyFont="1" applyFill="1" applyBorder="1" applyAlignment="1">
      <alignment horizontal="center" vertical="center" wrapText="1"/>
    </xf>
    <xf numFmtId="0" fontId="41" fillId="21" borderId="23" xfId="0" applyFont="1" applyFill="1" applyBorder="1" applyAlignment="1">
      <alignment horizontal="center" vertical="center" wrapText="1"/>
    </xf>
    <xf numFmtId="176" fontId="40" fillId="20" borderId="19" xfId="0" applyNumberFormat="1" applyFont="1" applyFill="1" applyBorder="1" applyAlignment="1">
      <alignment horizontal="center" vertical="center" wrapText="1" shrinkToFit="1"/>
    </xf>
    <xf numFmtId="0" fontId="0" fillId="0" borderId="0" xfId="0" applyAlignment="1">
      <alignment vertical="center"/>
    </xf>
    <xf numFmtId="0" fontId="22" fillId="0" borderId="0" xfId="0" applyFont="1" applyAlignment="1">
      <alignment vertical="top"/>
    </xf>
    <xf numFmtId="0" fontId="22" fillId="0" borderId="0" xfId="0" applyFont="1" applyAlignment="1">
      <alignment horizontal="center" vertical="top"/>
    </xf>
    <xf numFmtId="177" fontId="22" fillId="0" borderId="0" xfId="0" applyNumberFormat="1" applyFont="1" applyAlignment="1">
      <alignment vertical="top" shrinkToFit="1"/>
    </xf>
    <xf numFmtId="176" fontId="22" fillId="0" borderId="0" xfId="0" applyNumberFormat="1" applyFont="1" applyAlignment="1">
      <alignment vertical="top" shrinkToFit="1"/>
    </xf>
    <xf numFmtId="0" fontId="42" fillId="0" borderId="0" xfId="0" applyFont="1" applyAlignment="1">
      <alignment vertical="center" wrapText="1"/>
    </xf>
    <xf numFmtId="0" fontId="43" fillId="0" borderId="0" xfId="0" applyFont="1"/>
    <xf numFmtId="176" fontId="8" fillId="0" borderId="0" xfId="0" applyNumberFormat="1" applyFont="1" applyAlignment="1">
      <alignment wrapText="1" shrinkToFit="1"/>
    </xf>
    <xf numFmtId="0" fontId="16" fillId="14" borderId="5" xfId="0" applyFont="1" applyFill="1" applyBorder="1" applyAlignment="1">
      <alignment horizontal="center" vertical="center" wrapText="1"/>
    </xf>
    <xf numFmtId="0" fontId="16" fillId="14" borderId="5" xfId="0" applyFont="1" applyFill="1" applyBorder="1" applyAlignment="1">
      <alignment horizontal="center" wrapText="1"/>
    </xf>
    <xf numFmtId="0" fontId="44" fillId="0" borderId="0" xfId="0" applyFont="1" applyAlignment="1">
      <alignment horizontal="center" vertical="center"/>
    </xf>
    <xf numFmtId="0" fontId="44" fillId="0" borderId="0" xfId="0" applyFont="1"/>
    <xf numFmtId="0" fontId="46" fillId="0" borderId="0" xfId="0" applyFont="1"/>
    <xf numFmtId="176" fontId="46" fillId="0" borderId="0" xfId="0" applyNumberFormat="1" applyFont="1" applyAlignment="1">
      <alignment horizontal="center" vertical="center" shrinkToFit="1"/>
    </xf>
    <xf numFmtId="176" fontId="46" fillId="0" borderId="0" xfId="0" applyNumberFormat="1" applyFont="1" applyAlignment="1">
      <alignment shrinkToFit="1"/>
    </xf>
    <xf numFmtId="178" fontId="46" fillId="0" borderId="0" xfId="0" applyNumberFormat="1" applyFont="1" applyAlignment="1">
      <alignment shrinkToFit="1"/>
    </xf>
    <xf numFmtId="180" fontId="46" fillId="0" borderId="0" xfId="0" applyNumberFormat="1" applyFont="1" applyAlignment="1">
      <alignment shrinkToFit="1"/>
    </xf>
    <xf numFmtId="184" fontId="47" fillId="0" borderId="0" xfId="0" applyNumberFormat="1" applyFont="1" applyAlignment="1">
      <alignment shrinkToFit="1"/>
    </xf>
    <xf numFmtId="184" fontId="46" fillId="0" borderId="0" xfId="0" applyNumberFormat="1" applyFont="1" applyAlignment="1">
      <alignment shrinkToFit="1"/>
    </xf>
    <xf numFmtId="184" fontId="48" fillId="0" borderId="0" xfId="0" applyNumberFormat="1" applyFont="1" applyAlignment="1">
      <alignment shrinkToFit="1"/>
    </xf>
    <xf numFmtId="0" fontId="48" fillId="0" borderId="0" xfId="0" applyFont="1"/>
    <xf numFmtId="184" fontId="5" fillId="0" borderId="0" xfId="0" applyNumberFormat="1" applyFont="1" applyAlignment="1">
      <alignment shrinkToFit="1"/>
    </xf>
    <xf numFmtId="0" fontId="16" fillId="14" borderId="24" xfId="0" applyFont="1" applyFill="1" applyBorder="1"/>
    <xf numFmtId="0" fontId="16" fillId="14" borderId="24" xfId="0" applyFont="1" applyFill="1" applyBorder="1" applyAlignment="1">
      <alignment horizontal="center" vertical="center"/>
    </xf>
    <xf numFmtId="176" fontId="16" fillId="14" borderId="24" xfId="0" applyNumberFormat="1" applyFont="1" applyFill="1" applyBorder="1" applyAlignment="1">
      <alignment shrinkToFit="1"/>
    </xf>
    <xf numFmtId="184" fontId="7" fillId="7" borderId="0" xfId="0" applyNumberFormat="1" applyFont="1" applyFill="1" applyAlignment="1">
      <alignment horizontal="centerContinuous" shrinkToFit="1"/>
    </xf>
    <xf numFmtId="184" fontId="7" fillId="2" borderId="0" xfId="0" applyNumberFormat="1" applyFont="1" applyFill="1" applyAlignment="1">
      <alignment horizontal="centerContinuous" shrinkToFit="1"/>
    </xf>
    <xf numFmtId="184" fontId="7" fillId="3" borderId="0" xfId="0" applyNumberFormat="1" applyFont="1" applyFill="1" applyAlignment="1">
      <alignment horizontal="centerContinuous" shrinkToFit="1"/>
    </xf>
    <xf numFmtId="184" fontId="7" fillId="3" borderId="0" xfId="0" applyNumberFormat="1" applyFont="1" applyFill="1" applyAlignment="1">
      <alignment horizontal="centerContinuous" vertical="center" shrinkToFit="1"/>
    </xf>
    <xf numFmtId="184" fontId="7" fillId="8" borderId="0" xfId="0" applyNumberFormat="1" applyFont="1" applyFill="1" applyAlignment="1">
      <alignment horizontal="centerContinuous" shrinkToFit="1"/>
    </xf>
    <xf numFmtId="184" fontId="7" fillId="8" borderId="0" xfId="0" applyNumberFormat="1" applyFont="1" applyFill="1" applyAlignment="1">
      <alignment horizontal="centerContinuous" vertical="center" shrinkToFit="1"/>
    </xf>
    <xf numFmtId="176" fontId="8" fillId="0" borderId="0" xfId="0" applyNumberFormat="1" applyFont="1" applyAlignment="1">
      <alignment vertical="center" shrinkToFit="1"/>
    </xf>
    <xf numFmtId="184" fontId="4" fillId="7" borderId="0" xfId="0" applyNumberFormat="1" applyFont="1" applyFill="1" applyAlignment="1">
      <alignment vertical="center" shrinkToFit="1"/>
    </xf>
    <xf numFmtId="184" fontId="4" fillId="7" borderId="0" xfId="0" applyNumberFormat="1" applyFont="1" applyFill="1" applyAlignment="1">
      <alignment horizontal="center" vertical="center" shrinkToFit="1"/>
    </xf>
    <xf numFmtId="184" fontId="4" fillId="2" borderId="0" xfId="0" applyNumberFormat="1" applyFont="1" applyFill="1" applyAlignment="1">
      <alignment vertical="center" shrinkToFit="1"/>
    </xf>
    <xf numFmtId="184" fontId="4" fillId="2" borderId="0" xfId="0" applyNumberFormat="1" applyFont="1" applyFill="1" applyAlignment="1">
      <alignment horizontal="center" vertical="center" shrinkToFit="1"/>
    </xf>
    <xf numFmtId="184" fontId="4" fillId="3" borderId="0" xfId="0" applyNumberFormat="1" applyFont="1" applyFill="1" applyAlignment="1">
      <alignment vertical="center" shrinkToFit="1"/>
    </xf>
    <xf numFmtId="184" fontId="4" fillId="8" borderId="0" xfId="0" applyNumberFormat="1" applyFont="1" applyFill="1" applyAlignment="1">
      <alignment vertical="center" shrinkToFit="1"/>
    </xf>
    <xf numFmtId="184" fontId="4" fillId="8" borderId="0" xfId="0" applyNumberFormat="1" applyFont="1" applyFill="1" applyAlignment="1">
      <alignment horizontal="center" vertical="center" shrinkToFit="1"/>
    </xf>
    <xf numFmtId="0" fontId="6" fillId="15" borderId="0" xfId="0" applyFont="1" applyFill="1"/>
    <xf numFmtId="0" fontId="49" fillId="0" borderId="0" xfId="0" applyFont="1"/>
    <xf numFmtId="176" fontId="6" fillId="0" borderId="0" xfId="0" applyNumberFormat="1" applyFont="1" applyAlignment="1">
      <alignment horizontal="center" vertical="center" shrinkToFit="1"/>
    </xf>
    <xf numFmtId="184" fontId="6" fillId="0" borderId="0" xfId="0" applyNumberFormat="1" applyFont="1" applyAlignment="1">
      <alignment shrinkToFit="1"/>
    </xf>
    <xf numFmtId="0" fontId="50" fillId="0" borderId="0" xfId="0" applyFont="1"/>
    <xf numFmtId="176" fontId="51" fillId="0" borderId="0" xfId="0" applyNumberFormat="1" applyFont="1"/>
    <xf numFmtId="176" fontId="50" fillId="0" borderId="0" xfId="0" applyNumberFormat="1" applyFont="1"/>
    <xf numFmtId="0" fontId="16" fillId="23" borderId="0" xfId="0" applyFont="1" applyFill="1"/>
    <xf numFmtId="0" fontId="52" fillId="7" borderId="0" xfId="0" applyFont="1" applyFill="1" applyAlignment="1">
      <alignment horizontal="centerContinuous"/>
    </xf>
    <xf numFmtId="176" fontId="52" fillId="7" borderId="0" xfId="0" applyNumberFormat="1" applyFont="1" applyFill="1" applyAlignment="1">
      <alignment horizontal="centerContinuous" shrinkToFit="1"/>
    </xf>
    <xf numFmtId="177" fontId="52" fillId="2" borderId="0" xfId="0" applyNumberFormat="1" applyFont="1" applyFill="1" applyAlignment="1">
      <alignment horizontal="centerContinuous" shrinkToFit="1"/>
    </xf>
    <xf numFmtId="178" fontId="52" fillId="2" borderId="0" xfId="0" applyNumberFormat="1" applyFont="1" applyFill="1" applyAlignment="1">
      <alignment horizontal="centerContinuous" shrinkToFit="1"/>
    </xf>
    <xf numFmtId="0" fontId="52" fillId="3" borderId="0" xfId="0" applyFont="1" applyFill="1" applyAlignment="1">
      <alignment horizontal="centerContinuous"/>
    </xf>
    <xf numFmtId="0" fontId="52" fillId="3" borderId="0" xfId="0" applyFont="1" applyFill="1" applyAlignment="1">
      <alignment horizontal="centerContinuous" vertical="center"/>
    </xf>
    <xf numFmtId="0" fontId="52" fillId="8" borderId="0" xfId="0" applyFont="1" applyFill="1" applyAlignment="1">
      <alignment horizontal="centerContinuous"/>
    </xf>
    <xf numFmtId="176" fontId="52" fillId="8" borderId="0" xfId="0" applyNumberFormat="1" applyFont="1" applyFill="1" applyAlignment="1">
      <alignment horizontal="centerContinuous" vertical="center" shrinkToFit="1"/>
    </xf>
    <xf numFmtId="184" fontId="52" fillId="8" borderId="0" xfId="0" applyNumberFormat="1" applyFont="1" applyFill="1" applyAlignment="1">
      <alignment horizontal="centerContinuous" vertical="center" shrinkToFit="1"/>
    </xf>
    <xf numFmtId="0" fontId="8" fillId="7" borderId="0" xfId="0" applyFont="1" applyFill="1" applyAlignment="1">
      <alignment vertical="center"/>
    </xf>
    <xf numFmtId="0" fontId="8" fillId="7" borderId="0" xfId="0" applyFont="1" applyFill="1" applyAlignment="1">
      <alignment horizontal="center" vertical="center"/>
    </xf>
    <xf numFmtId="176" fontId="8" fillId="7" borderId="0" xfId="0" applyNumberFormat="1" applyFont="1" applyFill="1" applyAlignment="1">
      <alignment horizontal="center" vertical="center" shrinkToFit="1"/>
    </xf>
    <xf numFmtId="177" fontId="8" fillId="2" borderId="0" xfId="0" applyNumberFormat="1" applyFont="1" applyFill="1" applyAlignment="1">
      <alignment vertical="center" shrinkToFit="1"/>
    </xf>
    <xf numFmtId="177" fontId="8" fillId="2" borderId="0" xfId="0" applyNumberFormat="1" applyFont="1" applyFill="1" applyAlignment="1">
      <alignment horizontal="center" vertical="center" shrinkToFit="1"/>
    </xf>
    <xf numFmtId="178" fontId="8" fillId="2" borderId="0" xfId="0" applyNumberFormat="1" applyFont="1" applyFill="1" applyAlignment="1">
      <alignment horizontal="center" vertical="center" shrinkToFit="1"/>
    </xf>
    <xf numFmtId="0" fontId="8" fillId="3" borderId="0" xfId="0" applyFont="1" applyFill="1" applyAlignment="1">
      <alignment vertical="center"/>
    </xf>
    <xf numFmtId="0" fontId="8" fillId="8" borderId="0" xfId="0" applyFont="1" applyFill="1" applyAlignment="1">
      <alignment vertical="center"/>
    </xf>
    <xf numFmtId="0" fontId="8" fillId="8" borderId="0" xfId="0" applyFont="1" applyFill="1" applyAlignment="1">
      <alignment horizontal="center" vertical="center"/>
    </xf>
    <xf numFmtId="176" fontId="8" fillId="8" borderId="0" xfId="0" applyNumberFormat="1" applyFont="1" applyFill="1" applyAlignment="1">
      <alignment horizontal="center" vertical="center" shrinkToFit="1"/>
    </xf>
    <xf numFmtId="184" fontId="8" fillId="8" borderId="0" xfId="0" applyNumberFormat="1" applyFont="1" applyFill="1" applyAlignment="1">
      <alignment horizontal="center" vertical="center" shrinkToFit="1"/>
    </xf>
    <xf numFmtId="0" fontId="8" fillId="24" borderId="25" xfId="0" applyFont="1" applyFill="1" applyBorder="1" applyAlignment="1">
      <alignment wrapText="1"/>
    </xf>
    <xf numFmtId="0" fontId="6" fillId="0" borderId="25" xfId="0" applyFont="1" applyBorder="1"/>
    <xf numFmtId="0" fontId="8" fillId="0" borderId="0" xfId="0" pivotButton="1" applyFont="1" applyAlignment="1">
      <alignment vertical="center"/>
    </xf>
    <xf numFmtId="0" fontId="6" fillId="0" borderId="0" xfId="0" pivotButton="1" applyFont="1" applyAlignment="1">
      <alignment vertical="center"/>
    </xf>
    <xf numFmtId="0" fontId="6" fillId="0" borderId="0" xfId="0" applyFont="1" applyFill="1"/>
    <xf numFmtId="184" fontId="53" fillId="0" borderId="0" xfId="0" applyNumberFormat="1" applyFont="1" applyAlignment="1">
      <alignment shrinkToFit="1"/>
    </xf>
  </cellXfs>
  <cellStyles count="31">
    <cellStyle name="0,0_x000d__x000a_NA_x000d__x000a_" xfId="17" xr:uid="{00000000-0005-0000-0000-000011000000}"/>
    <cellStyle name="Comma 11 2 2" xfId="18" xr:uid="{00000000-0005-0000-0000-000012000000}"/>
    <cellStyle name="Comma 2 4 2" xfId="4" xr:uid="{00000000-0005-0000-0000-000004000000}"/>
    <cellStyle name="Comma 4 2" xfId="6" xr:uid="{00000000-0005-0000-0000-000006000000}"/>
    <cellStyle name="Comma 5 2 2 2 2" xfId="20" xr:uid="{00000000-0005-0000-0000-000014000000}"/>
    <cellStyle name="Normal 3 2 4" xfId="15" xr:uid="{00000000-0005-0000-0000-00000F000000}"/>
    <cellStyle name="Normal 3 3 4" xfId="25" xr:uid="{00000000-0005-0000-0000-000019000000}"/>
    <cellStyle name="Normal 5 3" xfId="7" xr:uid="{00000000-0005-0000-0000-000007000000}"/>
    <cellStyle name="Normal 6" xfId="3" xr:uid="{00000000-0005-0000-0000-000003000000}"/>
    <cellStyle name="Normal 7 2 2 2 2" xfId="16" xr:uid="{00000000-0005-0000-0000-000010000000}"/>
    <cellStyle name="Percent 2 2" xfId="13" xr:uid="{00000000-0005-0000-0000-00000D000000}"/>
    <cellStyle name="Percent 2 3" xfId="24" xr:uid="{00000000-0005-0000-0000-000018000000}"/>
    <cellStyle name="Percent 3 2" xfId="12" xr:uid="{00000000-0005-0000-0000-00000C000000}"/>
    <cellStyle name="百分比" xfId="27" builtinId="5"/>
    <cellStyle name="百分比 2" xfId="8" xr:uid="{00000000-0005-0000-0000-000008000000}"/>
    <cellStyle name="百分比 2 2" xfId="11" xr:uid="{00000000-0005-0000-0000-00000B000000}"/>
    <cellStyle name="常规" xfId="0" builtinId="0"/>
    <cellStyle name="常规 10" xfId="9" xr:uid="{00000000-0005-0000-0000-000009000000}"/>
    <cellStyle name="常规 10 2" xfId="21" xr:uid="{00000000-0005-0000-0000-000015000000}"/>
    <cellStyle name="常规 10 2 2 2" xfId="22" xr:uid="{00000000-0005-0000-0000-000016000000}"/>
    <cellStyle name="常规 2" xfId="14" xr:uid="{00000000-0005-0000-0000-00000E000000}"/>
    <cellStyle name="常规 2 2" xfId="26" xr:uid="{00000000-0005-0000-0000-00001A000000}"/>
    <cellStyle name="常规 2 2 2" xfId="2" xr:uid="{00000000-0005-0000-0000-000002000000}"/>
    <cellStyle name="常规 2 6 4" xfId="5" xr:uid="{00000000-0005-0000-0000-000005000000}"/>
    <cellStyle name="常规 3" xfId="28" xr:uid="{00000000-0005-0000-0000-00001C000000}"/>
    <cellStyle name="常规 6" xfId="29" xr:uid="{00000000-0005-0000-0000-00001D000000}"/>
    <cellStyle name="千位分隔 2" xfId="10" xr:uid="{00000000-0005-0000-0000-00000A000000}"/>
    <cellStyle name="千位分隔 2 2" xfId="19" xr:uid="{00000000-0005-0000-0000-000013000000}"/>
    <cellStyle name="千位分隔 3 2" xfId="23" xr:uid="{00000000-0005-0000-0000-000017000000}"/>
    <cellStyle name="样式 4" xfId="30" xr:uid="{37764851-77D0-4D6E-8820-DB1D80242F36}"/>
    <cellStyle name="一般 2" xfId="1" xr:uid="{00000000-0005-0000-0000-000001000000}"/>
  </cellStyles>
  <dxfs count="324">
    <dxf>
      <alignment shrinkToFit="1"/>
    </dxf>
    <dxf>
      <alignment shrinkToFit="1"/>
    </dxf>
    <dxf>
      <numFmt numFmtId="176" formatCode="_ * #,##0.00_ ;_ * \-#,##0.00_ ;_ * &quot;-&quot;??_ ;_ @\ "/>
    </dxf>
    <dxf>
      <numFmt numFmtId="176" formatCode="_ * #,##0.00_ ;_ * \-#,##0.00_ ;_ * &quot;-&quot;??_ ;_ @\ "/>
    </dxf>
    <dxf>
      <font>
        <b/>
        <charset val="134"/>
      </font>
    </dxf>
    <dxf>
      <font>
        <b/>
        <charset val="134"/>
      </font>
    </dxf>
    <dxf>
      <font>
        <b/>
        <charset val="134"/>
      </font>
    </dxf>
    <dxf>
      <font>
        <b/>
        <charset val="134"/>
      </font>
    </dxf>
    <dxf>
      <font>
        <b/>
        <charset val="134"/>
      </font>
    </dxf>
    <dxf>
      <font>
        <b/>
        <charset val="134"/>
      </font>
    </dxf>
    <dxf>
      <alignment vertical="center"/>
    </dxf>
    <dxf>
      <alignment vertical="center"/>
    </dxf>
    <dxf>
      <alignment horizontal="center"/>
    </dxf>
    <dxf>
      <alignment horizontal="center"/>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shrinkToFit="1"/>
    </dxf>
    <dxf>
      <alignment shrinkToFit="1"/>
    </dxf>
    <dxf>
      <numFmt numFmtId="176" formatCode="_ * #,##0.00_ ;_ * \-#,##0.00_ ;_ * &quot;-&quot;??_ ;_ @\ "/>
    </dxf>
    <dxf>
      <numFmt numFmtId="176" formatCode="_ * #,##0.00_ ;_ * \-#,##0.00_ ;_ * &quot;-&quot;??_ ;_ @\ "/>
    </dxf>
    <dxf>
      <font>
        <b/>
        <charset val="134"/>
      </font>
    </dxf>
    <dxf>
      <font>
        <b/>
        <charset val="134"/>
      </font>
    </dxf>
    <dxf>
      <font>
        <b/>
        <charset val="134"/>
      </font>
    </dxf>
    <dxf>
      <font>
        <b/>
        <charset val="134"/>
      </font>
    </dxf>
    <dxf>
      <font>
        <b/>
        <charset val="134"/>
      </font>
    </dxf>
    <dxf>
      <font>
        <b/>
        <charset val="134"/>
      </font>
    </dxf>
    <dxf>
      <alignment vertical="center"/>
    </dxf>
    <dxf>
      <alignment vertical="center"/>
    </dxf>
    <dxf>
      <alignment horizontal="center"/>
    </dxf>
    <dxf>
      <alignment horizontal="center"/>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alignment horizontal="center"/>
    </dxf>
    <dxf>
      <alignment horizontal="center"/>
    </dxf>
    <dxf>
      <alignment vertical="center"/>
    </dxf>
    <dxf>
      <alignment vertical="center"/>
    </dxf>
    <dxf>
      <font>
        <b/>
        <charset val="134"/>
      </font>
    </dxf>
    <dxf>
      <font>
        <b/>
        <charset val="134"/>
      </font>
    </dxf>
    <dxf>
      <font>
        <b/>
        <charset val="134"/>
      </font>
    </dxf>
    <dxf>
      <font>
        <b/>
        <charset val="134"/>
      </font>
    </dxf>
    <dxf>
      <font>
        <b/>
        <charset val="134"/>
      </font>
    </dxf>
    <dxf>
      <font>
        <b/>
        <charset val="134"/>
      </font>
    </dxf>
    <dxf>
      <numFmt numFmtId="176" formatCode="_ * #,##0.00_ ;_ * \-#,##0.00_ ;_ * &quot;-&quot;??_ ;_ @\ "/>
    </dxf>
    <dxf>
      <numFmt numFmtId="176" formatCode="_ * #,##0.00_ ;_ * \-#,##0.00_ ;_ * &quot;-&quot;??_ ;_ @\ "/>
    </dxf>
    <dxf>
      <alignment shrinkToFit="1"/>
    </dxf>
    <dxf>
      <alignment shrinkToFit="1"/>
    </dxf>
    <dxf>
      <alignment wrapText="1"/>
    </dxf>
    <dxf>
      <alignment wrapText="1"/>
    </dxf>
    <dxf>
      <alignment wrapText="1"/>
    </dxf>
    <dxf>
      <alignment wrapText="1"/>
    </dxf>
    <dxf>
      <alignment wrapText="1"/>
    </dxf>
    <dxf>
      <alignment wrapText="1"/>
    </dxf>
    <dxf>
      <alignment wrapText="1"/>
    </dxf>
    <dxf>
      <alignment wrapText="1"/>
    </dxf>
    <dxf>
      <numFmt numFmtId="178" formatCode="\ #,##0_ ;[Red]\ \-#,##0_ ;_ &quot;&quot;&quot;&quot;?_ ;@"/>
    </dxf>
    <dxf>
      <alignment shrinkToFit="1"/>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alignment horizontal="center"/>
    </dxf>
    <dxf>
      <alignment horizontal="center"/>
    </dxf>
    <dxf>
      <alignment vertical="center"/>
    </dxf>
    <dxf>
      <alignment vertical="center"/>
    </dxf>
    <dxf>
      <font>
        <b/>
        <charset val="134"/>
      </font>
    </dxf>
    <dxf>
      <font>
        <b/>
        <charset val="134"/>
      </font>
    </dxf>
    <dxf>
      <font>
        <b/>
        <charset val="134"/>
      </font>
    </dxf>
    <dxf>
      <font>
        <b/>
        <charset val="134"/>
      </font>
    </dxf>
    <dxf>
      <font>
        <b/>
        <charset val="134"/>
      </font>
    </dxf>
    <dxf>
      <font>
        <b/>
        <charset val="134"/>
      </font>
    </dxf>
    <dxf>
      <numFmt numFmtId="176" formatCode="_ * #,##0.00_ ;_ * \-#,##0.00_ ;_ * &quot;-&quot;??_ ;_ @\ "/>
    </dxf>
    <dxf>
      <numFmt numFmtId="176" formatCode="_ * #,##0.00_ ;_ * \-#,##0.00_ ;_ * &quot;-&quot;??_ ;_ @\ "/>
    </dxf>
    <dxf>
      <alignment shrinkToFit="1"/>
    </dxf>
    <dxf>
      <alignment shrinkToFit="1"/>
    </dxf>
    <dxf>
      <alignment horizontal="center"/>
    </dxf>
    <dxf>
      <alignment horizontal="center"/>
    </dxf>
    <dxf>
      <alignment horizontal="center"/>
    </dxf>
    <dxf>
      <font>
        <b/>
      </font>
    </dxf>
    <dxf>
      <alignment wrapText="1"/>
    </dxf>
    <dxf>
      <alignment wrapText="1"/>
    </dxf>
    <dxf>
      <alignment wrapText="1"/>
    </dxf>
    <dxf>
      <numFmt numFmtId="178" formatCode="\ #,##0_ ;[Red]\ \-#,##0_ ;_ &quot;&quot;&quot;&quot;?_ ;@"/>
    </dxf>
    <dxf>
      <alignment horizontal="center"/>
    </dxf>
    <dxf>
      <alignment horizontal="center"/>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font>
        <name val="Microsoft YaHei UI"/>
        <charset val="134"/>
      </font>
    </dxf>
    <dxf>
      <alignment horizontal="center"/>
    </dxf>
    <dxf>
      <alignment horizontal="center"/>
    </dxf>
    <dxf>
      <alignment vertical="center"/>
    </dxf>
    <dxf>
      <alignment vertical="center"/>
    </dxf>
    <dxf>
      <font>
        <b/>
        <charset val="134"/>
      </font>
    </dxf>
    <dxf>
      <font>
        <b/>
        <charset val="134"/>
      </font>
    </dxf>
    <dxf>
      <font>
        <b/>
        <charset val="134"/>
      </font>
    </dxf>
    <dxf>
      <font>
        <b/>
        <charset val="134"/>
      </font>
    </dxf>
    <dxf>
      <font>
        <b/>
        <charset val="134"/>
      </font>
    </dxf>
    <dxf>
      <font>
        <b/>
        <charset val="134"/>
      </font>
    </dxf>
    <dxf>
      <numFmt numFmtId="176" formatCode="_ * #,##0.00_ ;_ * \-#,##0.00_ ;_ * &quot;-&quot;??_ ;_ @\ "/>
    </dxf>
    <dxf>
      <numFmt numFmtId="176" formatCode="_ * #,##0.00_ ;_ * \-#,##0.00_ ;_ * &quot;-&quot;??_ ;_ @\ "/>
    </dxf>
    <dxf>
      <alignment shrinkToFit="1"/>
    </dxf>
    <dxf>
      <alignment shrinkToFit="1"/>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ont>
        <b/>
        <i val="0"/>
        <color theme="0"/>
      </font>
      <fill>
        <patternFill patternType="solid">
          <fgColor theme="4" tint="-0.24994659260841701"/>
          <bgColor theme="4" tint="0.39991454817346722"/>
        </patternFill>
      </fill>
      <border>
        <bottom style="thin">
          <color theme="4" tint="0.79998168889431442"/>
        </bottom>
        <horizontal style="thin">
          <color theme="4" tint="0.39997558519241921"/>
        </horizontal>
      </border>
    </dxf>
    <dxf>
      <font>
        <b/>
      </font>
      <fill>
        <patternFill>
          <bgColor theme="4" tint="0.79998168889431442"/>
        </patternFill>
      </fill>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font>
    </dxf>
    <dxf>
      <font>
        <b/>
        <color theme="1"/>
      </font>
      <border>
        <top style="double">
          <color theme="4" tint="-0.249977111117893"/>
        </top>
      </border>
    </dxf>
    <dxf>
      <font>
        <b/>
        <color theme="0"/>
      </font>
      <fill>
        <patternFill patternType="solid">
          <fgColor theme="4" tint="-0.499984740745262"/>
          <bgColor theme="4" tint="-0.249977111117893"/>
        </patternFill>
      </fill>
      <border>
        <horizontal style="thin">
          <color theme="4" tint="-0.249977111117893"/>
        </horizontal>
      </border>
    </dxf>
    <dxf>
      <font>
        <color theme="1"/>
      </font>
      <border>
        <vertical style="medium">
          <color theme="4" tint="0.79992065187536243"/>
        </vertical>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ont>
        <b/>
        <i val="0"/>
        <color theme="0"/>
      </font>
      <fill>
        <patternFill patternType="solid">
          <fgColor theme="4" tint="-0.24994659260841701"/>
          <bgColor theme="4" tint="0.39991454817346722"/>
        </patternFill>
      </fill>
      <border>
        <bottom style="thin">
          <color theme="4" tint="0.79998168889431442"/>
        </bottom>
        <horizontal style="thin">
          <color theme="4" tint="0.39997558519241921"/>
        </horizontal>
      </border>
    </dxf>
    <dxf>
      <font>
        <b/>
      </font>
      <fill>
        <patternFill>
          <bgColor theme="4" tint="0.79998168889431442"/>
        </patternFill>
      </fill>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font>
    </dxf>
    <dxf>
      <font>
        <b/>
        <color theme="1"/>
      </font>
      <border>
        <top style="double">
          <color theme="4" tint="-0.249977111117893"/>
        </top>
      </border>
    </dxf>
    <dxf>
      <font>
        <b/>
        <color theme="0"/>
      </font>
      <fill>
        <patternFill patternType="solid">
          <fgColor theme="4" tint="-0.499984740745262"/>
          <bgColor theme="4" tint="-0.249977111117893"/>
        </patternFill>
      </fill>
      <border>
        <horizontal style="thin">
          <color theme="4" tint="-0.249977111117893"/>
        </horizontal>
      </border>
    </dxf>
    <dxf>
      <font>
        <color theme="1"/>
      </font>
      <border>
        <vertical style="medium">
          <color theme="4" tint="0.79992065187536243"/>
        </vertical>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ont>
        <b/>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font>
        <b/>
      </font>
      <fill>
        <patternFill>
          <bgColor theme="4" tint="0.79998168889431442"/>
        </patternFill>
      </fill>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font>
    </dxf>
    <dxf>
      <font>
        <b/>
        <color theme="1"/>
      </font>
      <border>
        <top style="double">
          <color theme="4" tint="-0.249977111117893"/>
        </top>
      </border>
    </dxf>
    <dxf>
      <font>
        <b/>
        <color theme="0"/>
      </font>
      <fill>
        <patternFill patternType="solid">
          <fgColor theme="4" tint="-0.249977111117893"/>
          <bgColor theme="4" tint="-0.249977111117893"/>
        </patternFill>
      </fill>
      <border>
        <horizontal style="thin">
          <color theme="4" tint="-0.249977111117893"/>
        </horizontal>
      </border>
    </dxf>
    <dxf>
      <font>
        <color theme="1"/>
      </font>
      <border>
        <horizontal style="thin">
          <color theme="4" tint="0.79998168889431442"/>
        </horizontal>
      </border>
    </dxf>
    <dxf>
      <border>
        <right style="medium">
          <color theme="1" tint="0.499984740745262"/>
        </right>
        <top style="medium">
          <color theme="1" tint="0.499984740745262"/>
        </top>
        <bottom style="medium">
          <color theme="1" tint="0.499984740745262"/>
        </bottom>
      </border>
    </dxf>
    <dxf>
      <border>
        <left style="medium">
          <color theme="1" tint="0.499984740745262"/>
        </left>
        <top style="medium">
          <color theme="1" tint="0.499984740745262"/>
        </top>
        <bottom style="medium">
          <color theme="1" tint="0.499984740745262"/>
        </bottom>
      </border>
    </dxf>
    <dxf>
      <font>
        <b/>
        <color theme="1"/>
      </font>
    </dxf>
    <dxf>
      <font>
        <b/>
        <color theme="1"/>
      </font>
      <fill>
        <patternFill patternType="solid">
          <fgColor theme="4" tint="0.59999389629810485"/>
          <bgColor theme="4" tint="0.59999389629810485"/>
        </patternFill>
      </fill>
      <border>
        <bottom style="medium">
          <color theme="4" tint="0.79998168889431442"/>
        </bottom>
      </border>
    </dxf>
    <dxf>
      <border>
        <top style="medium">
          <color theme="4" tint="0.79998168889431442"/>
        </top>
      </border>
    </dxf>
    <dxf>
      <border>
        <top style="medium">
          <color theme="4" tint="0.79998168889431442"/>
        </top>
      </border>
    </dxf>
    <dxf>
      <font>
        <b/>
        <color theme="1"/>
      </font>
      <fill>
        <patternFill patternType="solid">
          <fgColor theme="4" tint="-0.24994659260841701"/>
          <bgColor theme="4" tint="0.39994506668294322"/>
        </patternFill>
      </fill>
    </dxf>
    <dxf>
      <border>
        <left style="thin">
          <color theme="4" tint="0.39997558519241921"/>
        </left>
        <right style="thin">
          <color theme="4" tint="0.39997558519241921"/>
        </right>
      </border>
    </dxf>
    <dxf>
      <border>
        <left style="thin">
          <color theme="4" tint="0.39997558519241921"/>
        </left>
        <right style="thin">
          <color theme="4" tint="0.39997558519241921"/>
        </right>
      </border>
    </dxf>
    <dxf>
      <border>
        <top style="thin">
          <color theme="4" tint="0.59999389629810485"/>
        </top>
        <bottom style="thin">
          <color theme="4" tint="0.59999389629810485"/>
        </bottom>
      </border>
    </dxf>
    <dxf>
      <font>
        <b/>
        <color theme="0"/>
      </font>
      <fill>
        <patternFill patternType="solid">
          <fgColor theme="1" tint="0.249977111117893"/>
          <bgColor theme="1" tint="0.249977111117893"/>
        </patternFill>
      </fill>
    </dxf>
    <dxf>
      <font>
        <b/>
        <color theme="0"/>
      </font>
      <fill>
        <patternFill patternType="solid">
          <fgColor theme="1" tint="0.249977111117893"/>
          <bgColor theme="1" tint="0.249977111117893"/>
        </patternFill>
      </fill>
    </dxf>
    <dxf>
      <font>
        <color theme="1"/>
      </font>
      <fill>
        <patternFill patternType="solid">
          <fgColor theme="4" tint="0.79998168889431442"/>
          <bgColor theme="4" tint="0.79998168889431442"/>
        </patternFill>
      </fill>
      <border>
        <left style="medium">
          <color theme="1" tint="0.499984740745262"/>
        </left>
        <right style="medium">
          <color theme="1" tint="0.499984740745262"/>
        </right>
        <top style="medium">
          <color theme="1" tint="0.499984740745262"/>
        </top>
        <bottom style="medium">
          <color theme="1" tint="0.499984740745262"/>
        </bottom>
      </border>
    </dxf>
    <dxf>
      <fill>
        <patternFill>
          <bgColor rgb="FFFFFF00"/>
        </patternFill>
      </fill>
    </dxf>
    <dxf>
      <font>
        <b/>
        <i val="0"/>
      </font>
      <fill>
        <patternFill>
          <bgColor theme="4" tint="0.59996337778862885"/>
        </patternFill>
      </fill>
    </dxf>
    <dxf>
      <border>
        <top style="double">
          <color theme="1"/>
        </top>
      </border>
    </dxf>
    <dxf>
      <font>
        <b/>
        <color theme="0"/>
      </font>
      <fill>
        <patternFill patternType="solid">
          <fgColor theme="4"/>
          <bgColor theme="4"/>
        </patternFill>
      </fill>
      <border>
        <bottom style="medium">
          <color theme="1"/>
        </bottom>
      </border>
    </dxf>
    <dxf>
      <font>
        <color theme="1"/>
      </font>
      <border>
        <left style="medium">
          <color theme="1"/>
        </left>
        <right style="medium">
          <color theme="1"/>
        </right>
        <top style="medium">
          <color theme="1"/>
        </top>
        <bottom style="medium">
          <color theme="1"/>
        </bottom>
        <vertical style="thin">
          <color theme="1"/>
        </vertical>
      </border>
    </dxf>
  </dxfs>
  <tableStyles count="5" defaultTableStyle="TableStyleMedium16 2" defaultPivotStyle="PivotStyleLight16">
    <tableStyle name="TableStyleMedium16 2" pivot="0" count="5" xr9:uid="{5F82E941-8900-4005-AF58-902CC8C2D131}">
      <tableStyleElement type="wholeTable" dxfId="323"/>
      <tableStyleElement type="headerRow" dxfId="322"/>
      <tableStyleElement type="totalRow" dxfId="321"/>
      <tableStyleElement type="firstColumn" dxfId="320"/>
      <tableStyleElement type="firstColumnStripe" dxfId="319"/>
    </tableStyle>
    <tableStyle name="UniqueBQ" table="0" count="13" xr9:uid="{00000000-0011-0000-FFFF-FFFF00000000}">
      <tableStyleElement type="wholeTable" dxfId="318"/>
      <tableStyleElement type="headerRow" dxfId="317"/>
      <tableStyleElement type="totalRow" dxfId="316"/>
      <tableStyleElement type="secondRowStripe" dxfId="315"/>
      <tableStyleElement type="firstColumnStripe" dxfId="314"/>
      <tableStyleElement type="secondColumnStripe" dxfId="313"/>
      <tableStyleElement type="firstSubtotalRow" dxfId="312"/>
      <tableStyleElement type="secondColumnSubheading" dxfId="311"/>
      <tableStyleElement type="thirdColumnSubheading" dxfId="310"/>
      <tableStyleElement type="firstRowSubheading" dxfId="309"/>
      <tableStyleElement type="secondRowSubheading" dxfId="308"/>
      <tableStyleElement type="pageFieldLabels" dxfId="307"/>
      <tableStyleElement type="pageFieldValues" dxfId="306"/>
    </tableStyle>
    <tableStyle name="UniqueBQ2 2" table="0" count="10" xr9:uid="{9065A079-FAF4-4920-82F2-6F7530CEA55E}">
      <tableStyleElement type="wholeTable" dxfId="305"/>
      <tableStyleElement type="headerRow" dxfId="304"/>
      <tableStyleElement type="totalRow" dxfId="303"/>
      <tableStyleElement type="lastColumn" dxfId="302"/>
      <tableStyleElement type="firstSubtotalRow" dxfId="301"/>
      <tableStyleElement type="secondSubtotalRow" dxfId="300"/>
      <tableStyleElement type="thirdSubtotalRow" dxfId="299"/>
      <tableStyleElement type="firstRowSubheading" dxfId="298"/>
      <tableStyleElement type="pageFieldLabels" dxfId="297"/>
      <tableStyleElement type="pageFieldValues" dxfId="296"/>
    </tableStyle>
    <tableStyle name="UniqueBQ2 2 2" table="0" count="10" xr9:uid="{5020B957-0251-43C7-AEDE-BCDCBB6C8307}">
      <tableStyleElement type="wholeTable" dxfId="295"/>
      <tableStyleElement type="headerRow" dxfId="294"/>
      <tableStyleElement type="totalRow" dxfId="293"/>
      <tableStyleElement type="lastColumn" dxfId="292"/>
      <tableStyleElement type="firstSubtotalRow" dxfId="291"/>
      <tableStyleElement type="secondSubtotalRow" dxfId="290"/>
      <tableStyleElement type="thirdSubtotalRow" dxfId="289"/>
      <tableStyleElement type="firstRowSubheading" dxfId="288"/>
      <tableStyleElement type="pageFieldLabels" dxfId="287"/>
      <tableStyleElement type="pageFieldValues" dxfId="286"/>
    </tableStyle>
    <tableStyle name="UniqueBQ2 2 3" table="0" count="10" xr9:uid="{0728E89D-46F3-4BA3-BDD2-301EF9AF44BA}">
      <tableStyleElement type="wholeTable" dxfId="285"/>
      <tableStyleElement type="headerRow" dxfId="284"/>
      <tableStyleElement type="totalRow" dxfId="283"/>
      <tableStyleElement type="lastColumn" dxfId="282"/>
      <tableStyleElement type="firstSubtotalRow" dxfId="281"/>
      <tableStyleElement type="secondSubtotalRow" dxfId="280"/>
      <tableStyleElement type="thirdSubtotalRow" dxfId="279"/>
      <tableStyleElement type="firstRowSubheading" dxfId="278"/>
      <tableStyleElement type="pageFieldLabels" dxfId="277"/>
      <tableStyleElement type="pageFieldValues" dxfId="2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recordCount="0" mc:Ignorable="xr" r:id="rId1" refreshedBy="Kevin" refreshedDate="46271.67716284722" createdVersion="8" refreshedVersion="8" minRefreshableVersion="3" xr:uid="{434DD19B-2256-4141-8E3D-2EE2364CF5AF}">
  <cacheSource type="worksheet">
    <worksheetSource name="分类定义区"/>
  </cacheSource>
  <cacheFields count="35">
    <cacheField name="Main Key" numFmtId="0">
      <sharedItems containsBlank="1"/>
    </cacheField>
    <cacheField name="No." numFmtId="0">
      <sharedItems containsBlank="1"/>
    </cacheField>
    <cacheField name="Description" numFmtId="0">
      <sharedItems containsBlank="1" count="47" longText="1">
        <m/>
        <s v="【S2 - Substructure】"/>
        <s v="《2.1 - Piling Works》"/>
        <s v="{TESTS, REPORTS AND RECORDS}"/>
        <s v="Low-strain pile integrity test"/>
        <s v="Core-drilling test"/>
        <s v="Cross-hole sonic logging test (including installation of embedded sonic tubes in piles)"/>
        <s v="Single-pile vertical compressive static load test"/>
        <s v="Exploratory drilling test"/>
        <s v="Static uplift and lateral load tests"/>
        <s v="Construction of slurry pit"/>
        <s v="Provide soil test report"/>
        <s v="{Other}"/>
        <s v="Allow for all other works and costs not included above but necessary for completion of the &quot;PILING WORKS&quot; as shown on the Drawings and described in the Specification."/>
        <s v="《2.2 - Excavation and Backfilling》"/>
        <s v="Special Preambles"/>
        <s v="In addition to the Preamble Notes, the following provisions shall apply specifically to this Contract:"/>
        <s v="1. The Tenderer shall include all design costs in the rates and prices."/>
        <s v="2. In accordance with Clause 7.04 of the Preliminaries, the Tenderer shall complete the Schedule of Quantities and Rates."/>
        <s v="3. Quantities in the Schedule of Quantities and Rates do not form part of the Contract and are at the sole risk of the Tenderer."/>
        <s v="4. The quantities for all items shall be inserted by the Tenderer."/>
        <s v="5. The Tenderer shall insert and price under &quot;OTHER&quot; on the last page of each Schedule all additional items it considers necessary for completion of the Contract."/>
        <s v="6. The Tenderer shall complete the &quot;Supply Rate&quot;, &quot;Install Rate&quot; and &quot;All-in Rate&quot; columns. The &quot;All-in Rate&quot; equals the &quot;Supply Rate&quot; plus the &quot;Install Rate&quot;. The &quot;Supply Rate&quot; includes the material supply price before dispatch from the country or region of origin. The &quot;Install Rate&quot; includes installation, wastage and mark-up."/>
        <s v="{EXCAVATION}"/>
        <s v="Site levelling and surface clearance"/>
        <s v="Earth excavation for cast-in-place piles"/>
        <s v="Excavation"/>
        <s v="{BACKFILLING AND DISPOSAL}"/>
        <s v="Earth backfilling."/>
        <s v="Disposal of excavated soil off Site"/>
        <s v="{TEMPORARY DRAINAGE SYSTEM}"/>
        <s v="Allow for the temporary drainage system."/>
        <s v="Allow for all other works and costs necessary for completion of the &quot;EXCAVATION AND BACKFILLING&quot; works."/>
        <s v="《2.3 - Reinforced Concrete Works》"/>
        <s v="{GRADE OF REINFORCED CONCRETE}"/>
        <s v="Sand cushion under pile caps"/>
        <s v="300 mm thick graded crushed stone bedding layer, compacted in layers; place each succeeding layer only after the preceding layer has passed inspection; compaction greater than 95%; ground bearing capacity ≥ 100 kPa."/>
        <s v="Concrete blinding, f'c = 15 MPa"/>
        <s v="f'c(MPa)35 reinforced concrete pile caps"/>
        <s v="f'c(MPa)35 reinforced concrete foundation beams"/>
        <s v="f'c(MPa)35 reinforced concrete raft slab"/>
        <s v="{Formwork}"/>
        <s v="Formwork to concrete blinding"/>
        <s v="Formwork to pile caps"/>
        <s v="Formwork to foundation beams"/>
        <s v="Formwork to raft slab"/>
        <s v="【TOTAL】"/>
      </sharedItems>
    </cacheField>
    <cacheField name="Unit" numFmtId="0">
      <sharedItems containsBlank="1" count="5">
        <m/>
        <s v="No."/>
        <s v="M3"/>
        <s v="Item"/>
        <s v="m2"/>
      </sharedItems>
    </cacheField>
    <cacheField name="Qty" numFmtId="0">
      <sharedItems containsString="0" containsBlank="1" containsNumber="1" minValue="1" maxValue="23324.7124"/>
    </cacheField>
    <cacheField name="Factor" numFmtId="0">
      <sharedItems containsNonDate="0" containsString="0" containsBlank="1"/>
    </cacheField>
    <cacheField name="Labor" numFmtId="0">
      <sharedItems containsString="0" containsBlank="1" containsNumber="1" containsInteger="1" minValue="0" maxValue="0"/>
    </cacheField>
    <cacheField name="Material" numFmtId="0">
      <sharedItems containsString="0" containsBlank="1" containsNumber="1" containsInteger="1" minValue="0" maxValue="0"/>
    </cacheField>
    <cacheField name="Equipment" numFmtId="0">
      <sharedItems containsString="0" containsBlank="1" containsNumber="1" containsInteger="1" minValue="0" maxValue="0"/>
    </cacheField>
    <cacheField name="Rate" numFmtId="0">
      <sharedItems containsNonDate="0" containsString="0" containsBlank="1"/>
    </cacheField>
    <cacheField name="Amount" numFmtId="0">
      <sharedItems containsString="0" containsBlank="1" containsNumber="1" containsInteger="1" minValue="0" maxValue="0"/>
    </cacheField>
    <cacheField name="字段12" caption="字段12" numFmtId="0">
      <sharedItems containsNonDate="0" containsString="0" containsBlank="1"/>
    </cacheField>
    <cacheField name="Labor2" numFmtId="0">
      <sharedItems containsString="0" containsBlank="1" containsNumber="1" containsInteger="1" minValue="0" maxValue="0"/>
    </cacheField>
    <cacheField name="Material2" numFmtId="0">
      <sharedItems containsNonDate="0" containsString="0" containsBlank="1"/>
    </cacheField>
    <cacheField name="Equipment2" numFmtId="0">
      <sharedItems containsNonDate="0" containsString="0" containsBlank="1"/>
    </cacheField>
    <cacheField name="Rate2" numFmtId="0">
      <sharedItems containsNonDate="0" containsString="0" containsBlank="1"/>
    </cacheField>
    <cacheField name="Amount2" numFmtId="0">
      <sharedItems containsString="0" containsBlank="1" containsNumber="1" containsInteger="1" minValue="0" maxValue="0"/>
    </cacheField>
    <cacheField name="Discipline" numFmtId="0">
      <sharedItems containsBlank="1" count="2">
        <m/>
        <s v="Civil &amp; Decoration"/>
      </sharedItems>
    </cacheField>
    <cacheField name="SortKey" numFmtId="0">
      <sharedItems containsBlank="1" count="5">
        <m/>
        <s v="A.31"/>
        <s v="A.03"/>
        <s v="A.01"/>
        <s v="A.04"/>
      </sharedItems>
    </cacheField>
    <cacheField name="Category" numFmtId="0">
      <sharedItems containsBlank="1" count="5">
        <m/>
        <s v="Testing and Monitoring"/>
        <s v="Piling Works"/>
        <s v="Site Preparation and Earthworks"/>
        <s v="Cast-in-place Concrete and Reinforcement"/>
      </sharedItems>
    </cacheField>
    <cacheField name="Subcategory" numFmtId="0">
      <sharedItems containsBlank="1" count="12">
        <m/>
        <s v="Pile Foundation Testing"/>
        <s v="Bored Cast-in-place Piles"/>
        <s v="Ground and Support Testing &amp; Monitoring"/>
        <s v="Site Levelling and Others"/>
        <s v="Foundation Earthworks"/>
        <s v="Standalone Earthworks"/>
        <s v="Concrete Blinding"/>
        <s v="Foundations and Pile Caps"/>
        <s v="Cast-in-place Beams"/>
        <s v="Cast-in-place Slabs"/>
        <s v="Foundation Formwork"/>
      </sharedItems>
    </cacheField>
    <cacheField name="Element" numFmtId="0">
      <sharedItems containsBlank="1" count="16">
        <m/>
        <s v="Low-strain Pile Integrity Testing (PIT)"/>
        <s v="Pile Core Drilling Inspection"/>
        <s v="Cross-hole Sonic Logging (CSL)"/>
        <s v="Static Load Test for Single Pile Capacity"/>
        <s v="Static Load Test"/>
        <s v="Bored Cast-in-situ Piles with Slurry Support"/>
        <s v="Ground Treatment Testing and Inspection"/>
        <s v="Site Levelling"/>
        <s v="Earthwork Excavation Between Piles and Internal Strut"/>
        <s v="Pit Earth Excavation"/>
        <s v="Backfilling"/>
        <s v="Concrete Blinding"/>
        <s v="Pile Caps and Pile Capping Beams"/>
        <s v="Reinforced Concrete Beams"/>
        <s v="Solid Floor Slabs"/>
      </sharedItems>
    </cacheField>
    <cacheField name="BQ KEY" numFmtId="0">
      <sharedItems containsBlank="1" count="28">
        <s v="|0"/>
        <m/>
        <s v="A.31|46816"/>
        <s v="A.31|17211"/>
        <s v="A.31|361280"/>
        <s v="A.31|120430"/>
        <s v="A.31|33059"/>
        <s v="A.31|64379"/>
        <s v="A.03|35124"/>
        <s v="A.31|30126"/>
        <s v="A.03|1250342"/>
        <s v="A.01|64658"/>
        <s v="A.01|78267"/>
        <s v="A.01|5917"/>
        <s v="A.01|15588"/>
        <s v="A.01|58897"/>
        <s v="A.01|78049"/>
        <s v="A.01|436633"/>
        <s v="A.04|38861"/>
        <s v="A.04|10611207"/>
        <s v="A.04|36121"/>
        <s v="A.04|77209"/>
        <s v="A.04|109667"/>
        <s v="A.04|77075"/>
        <s v="A.04|43177"/>
        <s v="A.04|22024"/>
        <s v="A.04|40232"/>
        <s v="A.04|21928"/>
      </sharedItems>
    </cacheField>
    <cacheField name="CleanDescription" numFmtId="0">
      <sharedItems containsBlank="1" count="28">
        <m/>
        <s v=""/>
        <s v="Low-strain pile integrity test"/>
        <s v="Core-drilling test"/>
        <s v="Cross-hole sonic logging test (including installation of embedded sonic tubes in piles)"/>
        <s v="Single-pile vertical compressive static load test"/>
        <s v="Exploratory drilling test"/>
        <s v="Static uplift and lateral load tests"/>
        <s v="Construction of slurry pit"/>
        <s v="Provide soil test report"/>
        <s v="Allow for all other works and costs not included above but necessary for completion of the &quot;PILING WORKS&quot; as shown on the Drawings and described in the Specification"/>
        <s v="Site levelling and surface clearance"/>
        <s v="Earth excavation for cast-in-place piles"/>
        <s v="Excavation"/>
        <s v="Earth backfilling"/>
        <s v="Disposal of excavated soil off Site"/>
        <s v="Allow for the temporary drainage system"/>
        <s v="Allow for all other works and costs necessary for completion of the &quot;EXCAVATION AND BACKFILLING&quot; works"/>
        <s v="Sand cushion under pile caps"/>
        <s v="300 mm thick graded crushed stone bedding layer, compacted in layers; place each succeeding layer only after the preceding layer has passed inspection; compaction greater than 95%; ground bearing capacity ≥ 100 kPa"/>
        <s v="Concrete blinding, f'c = 15 MPa"/>
        <s v="f'c(MPa)35 reinforced concrete pile caps"/>
        <s v="f'c(MPa)35 reinforced concrete foundation beams"/>
        <s v="f'c(MPa)35 reinforced concrete raft slab"/>
        <s v="Formwork to concrete blinding"/>
        <s v="Formwork to pile caps"/>
        <s v="Formwork to foundation beams"/>
        <s v="Formwork to raft slab"/>
      </sharedItems>
    </cacheField>
    <cacheField name="Norm Rate" numFmtId="0">
      <sharedItems containsString="0" containsBlank="1" containsNumber="1" minValue="0" maxValue="40000"/>
    </cacheField>
    <cacheField name="Norm Amount" numFmtId="0">
      <sharedItems containsString="0" containsBlank="1" containsNumber="1" minValue="0" maxValue="4540764.4983400004"/>
    </cacheField>
    <cacheField name="Ref Rate" numFmtId="0">
      <sharedItems containsString="0" containsBlank="1" containsNumber="1" containsInteger="1" minValue="0" maxValue="0"/>
    </cacheField>
    <cacheField name="Ref Amount" numFmtId="0">
      <sharedItems containsString="0" containsBlank="1" containsNumber="1" containsInteger="1" minValue="0" maxValue="0"/>
    </cacheField>
    <cacheField name="字段29" caption="字段29" numFmtId="0">
      <sharedItems containsNonDate="0" containsString="0" containsBlank="1"/>
    </cacheField>
    <cacheField name="字段30" caption="字段30" numFmtId="0">
      <sharedItems containsNonDate="0" containsString="0" containsBlank="1"/>
    </cacheField>
    <cacheField name="Labor3" numFmtId="0">
      <sharedItems containsString="0" containsBlank="1" containsNumber="1" containsInteger="1" minValue="0" maxValue="0"/>
    </cacheField>
    <cacheField name="Material3" numFmtId="0">
      <sharedItems containsNonDate="0" containsString="0" containsBlank="1"/>
    </cacheField>
    <cacheField name="Equipment3" numFmtId="0">
      <sharedItems containsNonDate="0" containsString="0" containsBlank="1"/>
    </cacheField>
    <cacheField name="Rate3" numFmtId="0">
      <sharedItems containsNonDate="0" containsString="0" containsBlank="1"/>
    </cacheField>
    <cacheField name="Amount3"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7174D-1C1D-4D6E-BD41-2A4458FFB67B}" name="数据透视表3" cacheId="146" applyNumberFormats="0" applyBorderFormats="0" applyFontFormats="0" applyPatternFormats="0" applyAlignmentFormats="0" applyWidthHeightFormats="1" dataCaption="值" grandTotalCaption="直接费总计" updatedVersion="8" minRefreshableVersion="3" itemPrintTitles="1" createdVersion="8" indent="0" compact="0" compactData="0" multipleFieldFilters="0">
  <location ref="A3:C9" firstHeaderRow="1" firstDataRow="1" firstDataCol="3"/>
  <pivotFields count="35">
    <pivotField compact="0" outline="0" showAll="0"/>
    <pivotField compact="0" outline="0" showAll="0"/>
    <pivotField compact="0" outline="0" showAll="0" defaultSubtotal="0">
      <items count="47">
        <item x="39"/>
        <item x="38"/>
        <item x="42"/>
        <item x="44"/>
        <item x="43"/>
        <item x="4"/>
        <item x="11"/>
        <item x="0"/>
        <item x="2"/>
        <item x="20"/>
        <item x="12"/>
        <item x="14"/>
        <item x="23"/>
        <item x="30"/>
        <item x="33"/>
        <item x="41"/>
        <item x="46"/>
        <item x="37"/>
        <item x="45"/>
        <item x="26"/>
        <item x="1"/>
        <item x="15"/>
        <item x="16"/>
        <item x="17"/>
        <item x="18"/>
        <item x="19"/>
        <item x="21"/>
        <item x="22"/>
        <item x="3"/>
        <item x="5"/>
        <item x="6"/>
        <item x="7"/>
        <item x="8"/>
        <item x="9"/>
        <item x="10"/>
        <item x="13"/>
        <item x="24"/>
        <item x="25"/>
        <item x="27"/>
        <item x="28"/>
        <item x="29"/>
        <item x="31"/>
        <item x="32"/>
        <item x="34"/>
        <item x="35"/>
        <item x="36"/>
        <item x="40"/>
      </items>
    </pivotField>
    <pivotField compact="0" outline="0" showAll="0" defaultSubtotal="0">
      <items count="5">
        <item x="0"/>
        <item h="1" x="3"/>
        <item sd="0" x="2"/>
        <item x="1"/>
        <item x="4"/>
      </items>
    </pivotField>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3">
        <item x="1"/>
        <item h="1" x="0"/>
        <item t="default"/>
      </items>
    </pivotField>
    <pivotField axis="axisRow" compact="0" outline="0" showAll="0" sortType="ascending" defaultSubtotal="0">
      <items count="5">
        <item x="3"/>
        <item x="2"/>
        <item x="4"/>
        <item x="1"/>
        <item x="0"/>
      </items>
    </pivotField>
    <pivotField axis="axisRow" compact="0" outline="0" showAll="0" defaultSubtotal="0">
      <items count="5">
        <item x="0"/>
        <item x="2"/>
        <item x="3"/>
        <item x="4"/>
        <item x="1"/>
      </items>
    </pivotField>
    <pivotField compact="0" outline="0" showAll="0" defaultSubtotal="0">
      <items count="12">
        <item x="0"/>
        <item x="2"/>
        <item x="4"/>
        <item x="5"/>
        <item x="6"/>
        <item x="7"/>
        <item x="8"/>
        <item x="9"/>
        <item x="10"/>
        <item x="1"/>
        <item x="3"/>
        <item x="1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7"/>
    <field x="18"/>
    <field x="19"/>
  </rowFields>
  <rowItems count="6">
    <i>
      <x/>
      <x/>
      <x v="2"/>
    </i>
    <i r="1">
      <x v="1"/>
      <x v="1"/>
    </i>
    <i r="1">
      <x v="2"/>
      <x v="3"/>
    </i>
    <i r="1">
      <x v="3"/>
      <x v="4"/>
    </i>
    <i t="default">
      <x/>
    </i>
    <i t="grand">
      <x/>
    </i>
  </rowItems>
  <colItems count="1">
    <i/>
  </colItems>
  <formats count="33">
    <format dxfId="275">
      <pivotArea outline="0" collapsedLevelsAreSubtotals="1" fieldPosition="0"/>
    </format>
    <format dxfId="274">
      <pivotArea dataOnly="0" labelOnly="1" outline="0" axis="axisValues" fieldPosition="0"/>
    </format>
    <format dxfId="273">
      <pivotArea outline="0" collapsedLevelsAreSubtotals="1" fieldPosition="0"/>
    </format>
    <format dxfId="272">
      <pivotArea dataOnly="0" labelOnly="1" outline="0" axis="axisValues" fieldPosition="0"/>
    </format>
    <format dxfId="271">
      <pivotArea field="17" type="button" dataOnly="0" labelOnly="1" outline="0" axis="axisRow" fieldPosition="0"/>
    </format>
    <format dxfId="270">
      <pivotArea field="19" type="button" dataOnly="0" labelOnly="1" outline="0" axis="axisRow" fieldPosition="2"/>
    </format>
    <format dxfId="269">
      <pivotArea field="20" type="button" dataOnly="0" labelOnly="1" outline="0"/>
    </format>
    <format dxfId="268">
      <pivotArea field="2" type="button" dataOnly="0" labelOnly="1" outline="0"/>
    </format>
    <format dxfId="267">
      <pivotArea field="3" type="button" dataOnly="0" labelOnly="1" outline="0"/>
    </format>
    <format dxfId="266">
      <pivotArea dataOnly="0" labelOnly="1" outline="0" axis="axisValues" fieldPosition="0"/>
    </format>
    <format dxfId="265">
      <pivotArea field="3" type="button" dataOnly="0" labelOnly="1" outline="0"/>
    </format>
    <format dxfId="264">
      <pivotArea dataOnly="0" labelOnly="1" grandRow="1" outline="0" fieldPosition="0"/>
    </format>
    <format dxfId="263">
      <pivotArea field="3" type="button" dataOnly="0" labelOnly="1" outline="0"/>
    </format>
    <format dxfId="262">
      <pivotArea dataOnly="0" labelOnly="1" grandRow="1" outline="0" fieldPosition="0"/>
    </format>
    <format dxfId="261">
      <pivotArea type="all" dataOnly="0" outline="0" fieldPosition="0"/>
    </format>
    <format dxfId="260">
      <pivotArea outline="0" collapsedLevelsAreSubtotals="1" fieldPosition="0"/>
    </format>
    <format dxfId="259">
      <pivotArea field="17" type="button" dataOnly="0" labelOnly="1" outline="0" axis="axisRow" fieldPosition="0"/>
    </format>
    <format dxfId="258">
      <pivotArea field="19" type="button" dataOnly="0" labelOnly="1" outline="0" axis="axisRow" fieldPosition="2"/>
    </format>
    <format dxfId="257">
      <pivotArea field="20" type="button" dataOnly="0" labelOnly="1" outline="0"/>
    </format>
    <format dxfId="256">
      <pivotArea field="2" type="button" dataOnly="0" labelOnly="1" outline="0"/>
    </format>
    <format dxfId="255">
      <pivotArea field="3" type="button" dataOnly="0" labelOnly="1" outline="0"/>
    </format>
    <format dxfId="254">
      <pivotArea dataOnly="0" labelOnly="1" grandRow="1" outline="0" fieldPosition="0"/>
    </format>
    <format dxfId="253">
      <pivotArea dataOnly="0" labelOnly="1" outline="0" axis="axisValues" fieldPosition="0"/>
    </format>
    <format dxfId="252">
      <pivotArea field="-2" type="button" dataOnly="0" labelOnly="1" outline="0"/>
    </format>
    <format dxfId="251">
      <pivotArea type="topRight" dataOnly="0" labelOnly="1" outline="0" fieldPosition="0"/>
    </format>
    <format dxfId="250">
      <pivotArea outline="0" collapsedLevelsAreSubtotals="1" fieldPosition="0"/>
    </format>
    <format dxfId="249">
      <pivotArea field="17" type="button" dataOnly="0" labelOnly="1" outline="0" axis="axisRow" fieldPosition="0"/>
    </format>
    <format dxfId="248">
      <pivotArea field="18" type="button" dataOnly="0" labelOnly="1" outline="0" axis="axisRow" fieldPosition="1"/>
    </format>
    <format dxfId="247">
      <pivotArea field="19" type="button" dataOnly="0" labelOnly="1" outline="0" axis="axisRow" fieldPosition="2"/>
    </format>
    <format dxfId="246">
      <pivotArea field="-2" type="button" dataOnly="0" labelOnly="1" outline="0"/>
    </format>
    <format dxfId="245">
      <pivotArea field="17" type="button" dataOnly="0" labelOnly="1" outline="0" axis="axisRow" fieldPosition="0"/>
    </format>
    <format dxfId="244">
      <pivotArea field="18" type="button" dataOnly="0" labelOnly="1" outline="0" axis="axisRow" fieldPosition="1"/>
    </format>
    <format dxfId="243">
      <pivotArea field="19" type="button" dataOnly="0" labelOnly="1" outline="0" axis="axisRow" fieldPosition="2"/>
    </format>
  </formats>
  <pivotTableStyleInfo name="UniqueBQ"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CAE9B-B0BC-4515-9C6A-DE551D02A303}" name="数据透视表2" cacheId="146" applyNumberFormats="0" applyBorderFormats="0" applyFontFormats="0" applyPatternFormats="0" applyAlignmentFormats="0" applyWidthHeightFormats="1" dataCaption="值" updatedVersion="8" minRefreshableVersion="3" colGrandTotals="0" itemPrintTitles="1" createdVersion="8" indent="0" compact="0" compactData="0" multipleFieldFilters="0">
  <location ref="A3:F14" firstHeaderRow="1" firstDataRow="1" firstDataCol="5"/>
  <pivotFields count="35">
    <pivotField compact="0" outline="0" showAll="0"/>
    <pivotField compact="0" outline="0" showAll="0"/>
    <pivotField compact="0" outline="0" showAll="0" defaultSubtotal="0">
      <items count="47">
        <item x="39"/>
        <item x="38"/>
        <item x="42"/>
        <item x="44"/>
        <item x="43"/>
        <item x="4"/>
        <item x="11"/>
        <item x="0"/>
        <item x="2"/>
        <item x="20"/>
        <item x="12"/>
        <item x="14"/>
        <item x="23"/>
        <item x="30"/>
        <item x="33"/>
        <item x="41"/>
        <item x="46"/>
        <item x="37"/>
        <item x="45"/>
        <item x="26"/>
        <item x="1"/>
        <item x="15"/>
        <item x="16"/>
        <item x="17"/>
        <item x="18"/>
        <item x="19"/>
        <item x="21"/>
        <item x="22"/>
        <item x="3"/>
        <item x="5"/>
        <item x="6"/>
        <item x="7"/>
        <item x="8"/>
        <item x="9"/>
        <item x="10"/>
        <item x="13"/>
        <item x="24"/>
        <item x="25"/>
        <item x="27"/>
        <item x="28"/>
        <item x="29"/>
        <item x="31"/>
        <item x="32"/>
        <item x="34"/>
        <item x="35"/>
        <item x="36"/>
        <item x="40"/>
      </items>
    </pivotField>
    <pivotField axis="axisRow" compact="0" outline="0" showAll="0" defaultSubtotal="0">
      <items count="5">
        <item x="0"/>
        <item h="1" x="3"/>
        <item sd="0" x="2"/>
        <item x="1"/>
        <item x="4"/>
      </items>
    </pivotField>
    <pivotField dataField="1"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
        <item x="0"/>
        <item x="1"/>
      </items>
    </pivotField>
    <pivotField axis="axisRow" compact="0" outline="0" showAll="0" defaultSubtotal="0">
      <items count="5">
        <item x="3"/>
        <item x="2"/>
        <item x="4"/>
        <item x="1"/>
        <item x="0"/>
      </items>
    </pivotField>
    <pivotField axis="axisRow" compact="0" outline="0" showAll="0">
      <items count="6">
        <item x="0"/>
        <item x="2"/>
        <item x="3"/>
        <item x="4"/>
        <item x="1"/>
        <item t="default"/>
      </items>
    </pivotField>
    <pivotField axis="axisRow" compact="0" outline="0" showAll="0" defaultSubtotal="0">
      <items count="12">
        <item h="1" x="0"/>
        <item x="2"/>
        <item x="4"/>
        <item x="5"/>
        <item x="6"/>
        <item x="7"/>
        <item x="8"/>
        <item x="9"/>
        <item x="10"/>
        <item h="1" x="1"/>
        <item h="1" x="3"/>
        <item h="1" x="11"/>
      </items>
    </pivotField>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5">
    <field x="17"/>
    <field x="18"/>
    <field x="19"/>
    <field x="20"/>
    <field x="3"/>
  </rowFields>
  <rowItems count="11">
    <i>
      <x v="1"/>
      <x/>
      <x v="2"/>
      <x v="2"/>
      <x v="4"/>
    </i>
    <i r="3">
      <x v="3"/>
      <x v="2"/>
    </i>
    <i t="default" r="2">
      <x v="2"/>
    </i>
    <i r="1">
      <x v="1"/>
      <x v="1"/>
      <x v="1"/>
      <x v="2"/>
    </i>
    <i t="default" r="2">
      <x v="1"/>
    </i>
    <i r="1">
      <x v="2"/>
      <x v="3"/>
      <x v="5"/>
      <x v="2"/>
    </i>
    <i r="3">
      <x v="6"/>
      <x v="2"/>
    </i>
    <i r="3">
      <x v="7"/>
      <x v="2"/>
    </i>
    <i r="3">
      <x v="8"/>
      <x v="2"/>
    </i>
    <i t="default" r="2">
      <x v="3"/>
    </i>
    <i t="grand">
      <x/>
    </i>
  </rowItems>
  <colItems count="1">
    <i/>
  </colItems>
  <dataFields count="1">
    <dataField name="求和项:Qty" fld="4" baseField="0" baseItem="0"/>
  </dataFields>
  <formats count="33">
    <format dxfId="242">
      <pivotArea outline="0" collapsedLevelsAreSubtotals="1" fieldPosition="0"/>
    </format>
    <format dxfId="241">
      <pivotArea dataOnly="0" labelOnly="1" outline="0" axis="axisValues" fieldPosition="0"/>
    </format>
    <format dxfId="240">
      <pivotArea outline="0" collapsedLevelsAreSubtotals="1" fieldPosition="0"/>
    </format>
    <format dxfId="239">
      <pivotArea dataOnly="0" labelOnly="1" outline="0" axis="axisValues" fieldPosition="0"/>
    </format>
    <format dxfId="238">
      <pivotArea field="17" type="button" dataOnly="0" labelOnly="1" outline="0" axis="axisRow" fieldPosition="0"/>
    </format>
    <format dxfId="237">
      <pivotArea field="19" type="button" dataOnly="0" labelOnly="1" outline="0" axis="axisRow" fieldPosition="2"/>
    </format>
    <format dxfId="236">
      <pivotArea field="20" type="button" dataOnly="0" labelOnly="1" outline="0" axis="axisRow" fieldPosition="3"/>
    </format>
    <format dxfId="235">
      <pivotArea field="2" type="button" dataOnly="0" labelOnly="1" outline="0"/>
    </format>
    <format dxfId="234">
      <pivotArea field="3" type="button" dataOnly="0" labelOnly="1" outline="0" axis="axisRow" fieldPosition="4"/>
    </format>
    <format dxfId="233">
      <pivotArea dataOnly="0" labelOnly="1" outline="0" axis="axisValues" fieldPosition="0"/>
    </format>
    <format dxfId="232">
      <pivotArea field="3" type="button" dataOnly="0" labelOnly="1" outline="0" axis="axisRow" fieldPosition="4"/>
    </format>
    <format dxfId="231">
      <pivotArea dataOnly="0" labelOnly="1" grandRow="1" outline="0" fieldPosition="0"/>
    </format>
    <format dxfId="230">
      <pivotArea field="3" type="button" dataOnly="0" labelOnly="1" outline="0" axis="axisRow" fieldPosition="4"/>
    </format>
    <format dxfId="229">
      <pivotArea dataOnly="0" labelOnly="1" grandRow="1" outline="0" fieldPosition="0"/>
    </format>
    <format dxfId="228">
      <pivotArea type="all" dataOnly="0" outline="0" fieldPosition="0"/>
    </format>
    <format dxfId="227">
      <pivotArea outline="0" collapsedLevelsAreSubtotals="1" fieldPosition="0"/>
    </format>
    <format dxfId="226">
      <pivotArea field="17" type="button" dataOnly="0" labelOnly="1" outline="0" axis="axisRow" fieldPosition="0"/>
    </format>
    <format dxfId="225">
      <pivotArea field="19" type="button" dataOnly="0" labelOnly="1" outline="0" axis="axisRow" fieldPosition="2"/>
    </format>
    <format dxfId="224">
      <pivotArea field="20" type="button" dataOnly="0" labelOnly="1" outline="0" axis="axisRow" fieldPosition="3"/>
    </format>
    <format dxfId="223">
      <pivotArea field="2" type="button" dataOnly="0" labelOnly="1" outline="0"/>
    </format>
    <format dxfId="222">
      <pivotArea field="3" type="button" dataOnly="0" labelOnly="1" outline="0" axis="axisRow" fieldPosition="4"/>
    </format>
    <format dxfId="221">
      <pivotArea dataOnly="0" labelOnly="1" grandRow="1" outline="0" fieldPosition="0"/>
    </format>
    <format dxfId="220">
      <pivotArea dataOnly="0" labelOnly="1" outline="0" axis="axisValues" fieldPosition="0"/>
    </format>
    <format dxfId="219">
      <pivotArea outline="0" collapsedLevelsAreSubtotals="1" fieldPosition="0"/>
    </format>
    <format dxfId="218">
      <pivotArea outline="0" collapsedLevelsAreSubtotals="1" fieldPosition="0"/>
    </format>
    <format dxfId="217">
      <pivotArea type="origin" dataOnly="0" labelOnly="1" outline="0" fieldPosition="0"/>
    </format>
    <format dxfId="216">
      <pivotArea field="-2" type="button" dataOnly="0" labelOnly="1" outline="0" axis="axisValues" fieldPosition="0"/>
    </format>
    <format dxfId="215">
      <pivotArea type="topRight" dataOnly="0" labelOnly="1" outline="0" fieldPosition="0"/>
    </format>
    <format dxfId="214">
      <pivotArea field="17" type="button" dataOnly="0" labelOnly="1" outline="0" axis="axisRow" fieldPosition="0"/>
    </format>
    <format dxfId="213">
      <pivotArea field="18" type="button" dataOnly="0" labelOnly="1" outline="0" axis="axisRow" fieldPosition="1"/>
    </format>
    <format dxfId="212">
      <pivotArea field="19" type="button" dataOnly="0" labelOnly="1" outline="0" axis="axisRow" fieldPosition="2"/>
    </format>
    <format dxfId="211">
      <pivotArea field="20" type="button" dataOnly="0" labelOnly="1" outline="0" axis="axisRow" fieldPosition="3"/>
    </format>
    <format dxfId="210">
      <pivotArea field="3" type="button" dataOnly="0" labelOnly="1" outline="0" axis="axisRow" fieldPosition="4"/>
    </format>
  </formats>
  <pivotTableStyleInfo name="UniqueBQ2 2 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2F78B-9E87-4665-B0D9-8E06FA5D7D20}" name="数据透视表1" cacheId="146" applyNumberFormats="0" applyBorderFormats="0" applyFontFormats="0" applyPatternFormats="0" applyAlignmentFormats="0" applyWidthHeightFormats="1" dataCaption="值" updatedVersion="8" minRefreshableVersion="3" rowGrandTotals="0" colGrandTotals="0" itemPrintTitles="1" createdVersion="8" indent="0" compact="0" compactData="0" multipleFieldFilters="0">
  <location ref="A4:I26" firstHeaderRow="1" firstDataRow="1" firstDataCol="8"/>
  <pivotFields count="35">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47">
        <item x="39"/>
        <item x="38"/>
        <item x="42"/>
        <item x="44"/>
        <item x="43"/>
        <item x="4"/>
        <item x="11"/>
        <item x="0"/>
        <item x="2"/>
        <item x="20"/>
        <item x="12"/>
        <item x="14"/>
        <item x="23"/>
        <item x="30"/>
        <item x="33"/>
        <item x="41"/>
        <item x="46"/>
        <item x="37"/>
        <item x="45"/>
        <item x="26"/>
        <item x="1"/>
        <item x="15"/>
        <item x="16"/>
        <item x="17"/>
        <item x="18"/>
        <item x="19"/>
        <item x="21"/>
        <item x="22"/>
        <item x="3"/>
        <item x="5"/>
        <item x="6"/>
        <item x="7"/>
        <item x="8"/>
        <item x="9"/>
        <item x="10"/>
        <item x="13"/>
        <item x="24"/>
        <item x="25"/>
        <item x="27"/>
        <item x="28"/>
        <item x="29"/>
        <item x="31"/>
        <item x="32"/>
        <item x="34"/>
        <item x="35"/>
        <item x="36"/>
        <item x="40"/>
      </items>
      <extLst>
        <ext xmlns:x14="http://schemas.microsoft.com/office/spreadsheetml/2009/9/main" uri="{2946ED86-A175-432a-8AC1-64E0C546D7DE}">
          <x14:pivotField fillDownLabels="1"/>
        </ext>
      </extLst>
    </pivotField>
    <pivotField axis="axisRow" compact="0" outline="0" showAll="0" defaultSubtotal="0">
      <items count="5">
        <item h="1" x="0"/>
        <item h="1" x="3"/>
        <item x="2"/>
        <item x="1"/>
        <item x="4"/>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5">
        <item x="3"/>
        <item x="2"/>
        <item x="4"/>
        <item x="1"/>
        <item x="0"/>
      </items>
      <extLst>
        <ext xmlns:x14="http://schemas.microsoft.com/office/spreadsheetml/2009/9/main" uri="{2946ED86-A175-432a-8AC1-64E0C546D7DE}">
          <x14:pivotField fillDownLabels="1"/>
        </ext>
      </extLst>
    </pivotField>
    <pivotField axis="axisRow" compact="0" outline="0" showAll="0" nonAutoSortDefault="1" defaultSubtotal="0">
      <items count="5">
        <item x="3"/>
        <item x="2"/>
        <item x="4"/>
        <item x="0"/>
        <item x="1"/>
      </items>
      <extLst>
        <ext xmlns:x14="http://schemas.microsoft.com/office/spreadsheetml/2009/9/main" uri="{2946ED86-A175-432a-8AC1-64E0C546D7DE}">
          <x14:pivotField fillDownLabels="1"/>
        </ext>
      </extLst>
    </pivotField>
    <pivotField axis="axisRow" compact="0" outline="0" showAll="0" defaultSubtotal="0">
      <items count="12">
        <item x="0"/>
        <item x="2"/>
        <item x="4"/>
        <item x="5"/>
        <item x="6"/>
        <item x="7"/>
        <item x="8"/>
        <item x="9"/>
        <item x="10"/>
        <item x="1"/>
        <item x="3"/>
        <item x="11"/>
      </items>
      <extLst>
        <ext xmlns:x14="http://schemas.microsoft.com/office/spreadsheetml/2009/9/main" uri="{2946ED86-A175-432a-8AC1-64E0C546D7DE}">
          <x14:pivotField fillDownLabels="1"/>
        </ext>
      </extLst>
    </pivotField>
    <pivotField axis="axisRow" compact="0" outline="0" showAll="0" defaultSubtotal="0">
      <items count="16">
        <item x="11"/>
        <item x="6"/>
        <item x="10"/>
        <item x="14"/>
        <item x="8"/>
        <item x="15"/>
        <item x="0"/>
        <item x="1"/>
        <item x="2"/>
        <item x="3"/>
        <item x="4"/>
        <item x="5"/>
        <item x="7"/>
        <item x="9"/>
        <item x="12"/>
        <item x="13"/>
      </items>
      <extLst>
        <ext xmlns:x14="http://schemas.microsoft.com/office/spreadsheetml/2009/9/main" uri="{2946ED86-A175-432a-8AC1-64E0C546D7DE}">
          <x14:pivotField fillDownLabels="1"/>
        </ext>
      </extLst>
    </pivotField>
    <pivotField axis="axisRow" compact="0" outline="0" showAll="0" defaultSubtotal="0">
      <items count="28">
        <item x="1"/>
        <item x="0"/>
        <item x="2"/>
        <item x="3"/>
        <item x="4"/>
        <item x="5"/>
        <item x="6"/>
        <item x="7"/>
        <item x="8"/>
        <item x="9"/>
        <item x="10"/>
        <item x="11"/>
        <item x="12"/>
        <item x="13"/>
        <item x="14"/>
        <item x="15"/>
        <item x="16"/>
        <item x="17"/>
        <item x="18"/>
        <item x="19"/>
        <item x="20"/>
        <item x="21"/>
        <item x="22"/>
        <item x="23"/>
        <item x="24"/>
        <item x="25"/>
        <item x="26"/>
        <item x="27"/>
      </items>
      <extLst>
        <ext xmlns:x14="http://schemas.microsoft.com/office/spreadsheetml/2009/9/main" uri="{2946ED86-A175-432a-8AC1-64E0C546D7DE}">
          <x14:pivotField fillDownLabels="1"/>
        </ext>
      </extLst>
    </pivotField>
    <pivotField axis="axisRow" compact="0" outline="0" showAll="0" defaultSubtotal="0">
      <items count="28">
        <item x="1"/>
        <item x="14"/>
        <item x="22"/>
        <item x="21"/>
        <item x="24"/>
        <item x="26"/>
        <item x="25"/>
        <item x="2"/>
        <item x="9"/>
        <item x="0"/>
        <item x="13"/>
        <item x="27"/>
        <item x="20"/>
        <item x="3"/>
        <item x="4"/>
        <item x="5"/>
        <item x="6"/>
        <item x="7"/>
        <item x="8"/>
        <item x="10"/>
        <item x="11"/>
        <item x="12"/>
        <item x="15"/>
        <item x="16"/>
        <item x="17"/>
        <item x="18"/>
        <item x="19"/>
        <item x="2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8">
    <field x="17"/>
    <field x="18"/>
    <field x="19"/>
    <field x="20"/>
    <field x="21"/>
    <field x="22"/>
    <field x="23"/>
    <field x="3"/>
  </rowFields>
  <rowItems count="22">
    <i>
      <x/>
      <x/>
      <x/>
      <x v="2"/>
      <x v="4"/>
      <x v="11"/>
      <x v="20"/>
      <x v="4"/>
    </i>
    <i r="3">
      <x v="3"/>
      <x/>
      <x v="14"/>
      <x v="1"/>
      <x v="2"/>
    </i>
    <i r="4">
      <x v="2"/>
      <x v="13"/>
      <x v="10"/>
      <x v="2"/>
    </i>
    <i r="4">
      <x v="6"/>
      <x v="15"/>
      <x v="22"/>
      <x v="2"/>
    </i>
    <i r="4">
      <x v="13"/>
      <x v="12"/>
      <x v="21"/>
      <x v="2"/>
    </i>
    <i r="1">
      <x v="1"/>
      <x v="1"/>
      <x v="1"/>
      <x v="1"/>
      <x v="8"/>
      <x v="18"/>
      <x v="2"/>
    </i>
    <i r="1">
      <x v="2"/>
      <x v="2"/>
      <x v="5"/>
      <x v="14"/>
      <x v="18"/>
      <x v="25"/>
      <x v="2"/>
    </i>
    <i r="5">
      <x v="19"/>
      <x v="26"/>
      <x v="2"/>
    </i>
    <i r="5">
      <x v="20"/>
      <x v="12"/>
      <x v="2"/>
    </i>
    <i r="3">
      <x v="6"/>
      <x v="15"/>
      <x v="21"/>
      <x v="3"/>
      <x v="2"/>
    </i>
    <i r="3">
      <x v="7"/>
      <x v="3"/>
      <x v="22"/>
      <x v="2"/>
      <x v="2"/>
    </i>
    <i r="3">
      <x v="8"/>
      <x v="5"/>
      <x v="23"/>
      <x v="27"/>
      <x v="2"/>
    </i>
    <i r="3">
      <x v="11"/>
      <x v="3"/>
      <x v="26"/>
      <x v="5"/>
      <x v="4"/>
    </i>
    <i r="4">
      <x v="5"/>
      <x v="27"/>
      <x v="11"/>
      <x v="4"/>
    </i>
    <i r="4">
      <x v="14"/>
      <x v="24"/>
      <x v="4"/>
      <x v="4"/>
    </i>
    <i r="4">
      <x v="15"/>
      <x v="25"/>
      <x v="6"/>
      <x v="4"/>
    </i>
    <i r="1">
      <x v="3"/>
      <x v="4"/>
      <x v="9"/>
      <x v="7"/>
      <x v="2"/>
      <x v="7"/>
      <x v="3"/>
    </i>
    <i r="4">
      <x v="8"/>
      <x v="3"/>
      <x v="13"/>
      <x v="3"/>
    </i>
    <i r="5">
      <x v="6"/>
      <x v="16"/>
      <x v="3"/>
    </i>
    <i r="4">
      <x v="9"/>
      <x v="4"/>
      <x v="14"/>
      <x v="3"/>
    </i>
    <i r="4">
      <x v="10"/>
      <x v="5"/>
      <x v="15"/>
      <x v="3"/>
    </i>
    <i r="4">
      <x v="11"/>
      <x v="7"/>
      <x v="17"/>
      <x v="3"/>
    </i>
  </rowItems>
  <colItems count="1">
    <i/>
  </colItems>
  <dataFields count="1">
    <dataField name="求和项:Qty" fld="4" baseField="0" baseItem="0"/>
  </dataFields>
  <formats count="70">
    <format dxfId="209">
      <pivotArea outline="0" collapsedLevelsAreSubtotals="1" fieldPosition="0"/>
    </format>
    <format dxfId="208">
      <pivotArea dataOnly="0" labelOnly="1" outline="0" axis="axisValues" fieldPosition="0"/>
    </format>
    <format dxfId="207">
      <pivotArea outline="0" collapsedLevelsAreSubtotals="1" fieldPosition="0"/>
    </format>
    <format dxfId="206">
      <pivotArea dataOnly="0" labelOnly="1" outline="0" axis="axisValues" fieldPosition="0"/>
    </format>
    <format dxfId="205">
      <pivotArea field="17" type="button" dataOnly="0" labelOnly="1" outline="0" axis="axisRow" fieldPosition="0"/>
    </format>
    <format dxfId="204">
      <pivotArea field="19" type="button" dataOnly="0" labelOnly="1" outline="0" axis="axisRow" fieldPosition="2"/>
    </format>
    <format dxfId="203">
      <pivotArea field="20" type="button" dataOnly="0" labelOnly="1" outline="0" axis="axisRow" fieldPosition="3"/>
    </format>
    <format dxfId="202">
      <pivotArea field="2" type="button" dataOnly="0" labelOnly="1" outline="0"/>
    </format>
    <format dxfId="201">
      <pivotArea field="3" type="button" dataOnly="0" labelOnly="1" outline="0" axis="axisRow" fieldPosition="7"/>
    </format>
    <format dxfId="200">
      <pivotArea dataOnly="0" labelOnly="1" outline="0" axis="axisValues" fieldPosition="0"/>
    </format>
    <format dxfId="199">
      <pivotArea field="3" type="button" dataOnly="0" labelOnly="1" outline="0" axis="axisRow" fieldPosition="7"/>
    </format>
    <format dxfId="198">
      <pivotArea dataOnly="0" labelOnly="1" grandRow="1" outline="0" fieldPosition="0"/>
    </format>
    <format dxfId="197">
      <pivotArea field="3" type="button" dataOnly="0" labelOnly="1" outline="0" axis="axisRow" fieldPosition="7"/>
    </format>
    <format dxfId="196">
      <pivotArea dataOnly="0" labelOnly="1" grandRow="1" outline="0" fieldPosition="0"/>
    </format>
    <format dxfId="195">
      <pivotArea type="all" dataOnly="0" outline="0" fieldPosition="0"/>
    </format>
    <format dxfId="194">
      <pivotArea outline="0" collapsedLevelsAreSubtotals="1" fieldPosition="0"/>
    </format>
    <format dxfId="193">
      <pivotArea field="17" type="button" dataOnly="0" labelOnly="1" outline="0" axis="axisRow" fieldPosition="0"/>
    </format>
    <format dxfId="192">
      <pivotArea field="19" type="button" dataOnly="0" labelOnly="1" outline="0" axis="axisRow" fieldPosition="2"/>
    </format>
    <format dxfId="191">
      <pivotArea field="20" type="button" dataOnly="0" labelOnly="1" outline="0" axis="axisRow" fieldPosition="3"/>
    </format>
    <format dxfId="190">
      <pivotArea field="2" type="button" dataOnly="0" labelOnly="1" outline="0"/>
    </format>
    <format dxfId="189">
      <pivotArea field="3" type="button" dataOnly="0" labelOnly="1" outline="0" axis="axisRow" fieldPosition="7"/>
    </format>
    <format dxfId="188">
      <pivotArea dataOnly="0" labelOnly="1" grandRow="1" outline="0" fieldPosition="0"/>
    </format>
    <format dxfId="187">
      <pivotArea dataOnly="0" labelOnly="1" outline="0" axis="axisValues" fieldPosition="0"/>
    </format>
    <format dxfId="186">
      <pivotArea dataOnly="0" labelOnly="1" grandRow="1" outline="0" fieldPosition="0"/>
    </format>
    <format dxfId="185">
      <pivotArea field="17" type="button" dataOnly="0" labelOnly="1" outline="0" axis="axisRow" fieldPosition="0"/>
    </format>
    <format dxfId="184">
      <pivotArea field="18" type="button" dataOnly="0" labelOnly="1" outline="0" axis="axisRow" fieldPosition="1"/>
    </format>
    <format dxfId="183">
      <pivotArea field="19" type="button" dataOnly="0" labelOnly="1" outline="0" axis="axisRow" fieldPosition="2"/>
    </format>
    <format dxfId="182">
      <pivotArea field="20" type="button" dataOnly="0" labelOnly="1" outline="0" axis="axisRow" fieldPosition="3"/>
    </format>
    <format dxfId="181">
      <pivotArea field="21" type="button" dataOnly="0" labelOnly="1" outline="0" axis="axisRow" fieldPosition="4"/>
    </format>
    <format dxfId="180">
      <pivotArea field="22" type="button" dataOnly="0" labelOnly="1" outline="0" axis="axisRow" fieldPosition="5"/>
    </format>
    <format dxfId="179">
      <pivotArea field="23" type="button" dataOnly="0" labelOnly="1" outline="0" axis="axisRow" fieldPosition="6"/>
    </format>
    <format dxfId="178">
      <pivotArea field="3" type="button" dataOnly="0" labelOnly="1" outline="0" axis="axisRow" fieldPosition="7"/>
    </format>
    <format dxfId="177">
      <pivotArea dataOnly="0" labelOnly="1" outline="0" axis="axisValues" fieldPosition="0"/>
    </format>
    <format dxfId="176">
      <pivotArea dataOnly="0" labelOnly="1" outline="0" fieldPosition="0">
        <references count="2">
          <reference field="17" count="1" selected="0">
            <x v="0"/>
          </reference>
          <reference field="18" count="4">
            <x v="0"/>
            <x v="1"/>
            <x v="2"/>
            <x v="3"/>
          </reference>
        </references>
      </pivotArea>
    </format>
    <format dxfId="175">
      <pivotArea dataOnly="0" labelOnly="1" outline="0" fieldPosition="0">
        <references count="3">
          <reference field="17" count="1" selected="0">
            <x v="0"/>
          </reference>
          <reference field="18" count="1" selected="0">
            <x v="0"/>
          </reference>
          <reference field="19" count="1">
            <x v="0"/>
          </reference>
        </references>
      </pivotArea>
    </format>
    <format dxfId="174">
      <pivotArea dataOnly="0" labelOnly="1" outline="0" fieldPosition="0">
        <references count="3">
          <reference field="17" count="1" selected="0">
            <x v="0"/>
          </reference>
          <reference field="18" count="1" selected="0">
            <x v="1"/>
          </reference>
          <reference field="19" count="1">
            <x v="1"/>
          </reference>
        </references>
      </pivotArea>
    </format>
    <format dxfId="173">
      <pivotArea dataOnly="0" labelOnly="1" outline="0" fieldPosition="0">
        <references count="3">
          <reference field="17" count="1" selected="0">
            <x v="0"/>
          </reference>
          <reference field="18" count="1" selected="0">
            <x v="2"/>
          </reference>
          <reference field="19" count="1">
            <x v="2"/>
          </reference>
        </references>
      </pivotArea>
    </format>
    <format dxfId="172">
      <pivotArea dataOnly="0" labelOnly="1" outline="0" fieldPosition="0">
        <references count="3">
          <reference field="17" count="1" selected="0">
            <x v="0"/>
          </reference>
          <reference field="18" count="1" selected="0">
            <x v="3"/>
          </reference>
          <reference field="19" count="1">
            <x v="4"/>
          </reference>
        </references>
      </pivotArea>
    </format>
    <format dxfId="171">
      <pivotArea dataOnly="0" labelOnly="1" outline="0" fieldPosition="0">
        <references count="4">
          <reference field="17" count="1" selected="0">
            <x v="0"/>
          </reference>
          <reference field="18" count="1" selected="0">
            <x v="0"/>
          </reference>
          <reference field="19" count="1" selected="0">
            <x v="0"/>
          </reference>
          <reference field="20" count="2">
            <x v="2"/>
            <x v="3"/>
          </reference>
        </references>
      </pivotArea>
    </format>
    <format dxfId="170">
      <pivotArea dataOnly="0" labelOnly="1" outline="0" fieldPosition="0">
        <references count="4">
          <reference field="17" count="1" selected="0">
            <x v="0"/>
          </reference>
          <reference field="18" count="1" selected="0">
            <x v="1"/>
          </reference>
          <reference field="19" count="1" selected="0">
            <x v="1"/>
          </reference>
          <reference field="20" count="1">
            <x v="1"/>
          </reference>
        </references>
      </pivotArea>
    </format>
    <format dxfId="169">
      <pivotArea dataOnly="0" labelOnly="1" outline="0" fieldPosition="0">
        <references count="4">
          <reference field="17" count="1" selected="0">
            <x v="0"/>
          </reference>
          <reference field="18" count="1" selected="0">
            <x v="2"/>
          </reference>
          <reference field="19" count="1" selected="0">
            <x v="2"/>
          </reference>
          <reference field="20" count="5">
            <x v="5"/>
            <x v="6"/>
            <x v="7"/>
            <x v="8"/>
            <x v="11"/>
          </reference>
        </references>
      </pivotArea>
    </format>
    <format dxfId="168">
      <pivotArea dataOnly="0" labelOnly="1" outline="0" fieldPosition="0">
        <references count="4">
          <reference field="17" count="1" selected="0">
            <x v="0"/>
          </reference>
          <reference field="18" count="1" selected="0">
            <x v="3"/>
          </reference>
          <reference field="19" count="1" selected="0">
            <x v="4"/>
          </reference>
          <reference field="20" count="1">
            <x v="9"/>
          </reference>
        </references>
      </pivotArea>
    </format>
    <format dxfId="167">
      <pivotArea dataOnly="0" labelOnly="1" outline="0" fieldPosition="0">
        <references count="5">
          <reference field="17" count="1" selected="0">
            <x v="0"/>
          </reference>
          <reference field="18" count="1" selected="0">
            <x v="0"/>
          </reference>
          <reference field="19" count="1" selected="0">
            <x v="0"/>
          </reference>
          <reference field="20" count="1" selected="0">
            <x v="2"/>
          </reference>
          <reference field="21" count="1">
            <x v="4"/>
          </reference>
        </references>
      </pivotArea>
    </format>
    <format dxfId="166">
      <pivotArea dataOnly="0" labelOnly="1" outline="0" fieldPosition="0">
        <references count="5">
          <reference field="17" count="1" selected="0">
            <x v="0"/>
          </reference>
          <reference field="18" count="1" selected="0">
            <x v="0"/>
          </reference>
          <reference field="19" count="1" selected="0">
            <x v="0"/>
          </reference>
          <reference field="20" count="1" selected="0">
            <x v="3"/>
          </reference>
          <reference field="21" count="4">
            <x v="0"/>
            <x v="2"/>
            <x v="6"/>
            <x v="13"/>
          </reference>
        </references>
      </pivotArea>
    </format>
    <format dxfId="165">
      <pivotArea dataOnly="0" labelOnly="1" outline="0" fieldPosition="0">
        <references count="5">
          <reference field="17" count="1" selected="0">
            <x v="0"/>
          </reference>
          <reference field="18" count="1" selected="0">
            <x v="1"/>
          </reference>
          <reference field="19" count="1" selected="0">
            <x v="1"/>
          </reference>
          <reference field="20" count="1" selected="0">
            <x v="1"/>
          </reference>
          <reference field="21" count="2">
            <x v="1"/>
            <x v="6"/>
          </reference>
        </references>
      </pivotArea>
    </format>
    <format dxfId="164">
      <pivotArea dataOnly="0" labelOnly="1" outline="0" fieldPosition="0">
        <references count="5">
          <reference field="17" count="1" selected="0">
            <x v="0"/>
          </reference>
          <reference field="18" count="1" selected="0">
            <x v="2"/>
          </reference>
          <reference field="19" count="1" selected="0">
            <x v="2"/>
          </reference>
          <reference field="20" count="1" selected="0">
            <x v="5"/>
          </reference>
          <reference field="21" count="1">
            <x v="14"/>
          </reference>
        </references>
      </pivotArea>
    </format>
    <format dxfId="163">
      <pivotArea dataOnly="0" labelOnly="1" outline="0" fieldPosition="0">
        <references count="5">
          <reference field="17" count="1" selected="0">
            <x v="0"/>
          </reference>
          <reference field="18" count="1" selected="0">
            <x v="2"/>
          </reference>
          <reference field="19" count="1" selected="0">
            <x v="2"/>
          </reference>
          <reference field="20" count="1" selected="0">
            <x v="6"/>
          </reference>
          <reference field="21" count="1">
            <x v="15"/>
          </reference>
        </references>
      </pivotArea>
    </format>
    <format dxfId="162">
      <pivotArea dataOnly="0" labelOnly="1" outline="0" fieldPosition="0">
        <references count="5">
          <reference field="17" count="1" selected="0">
            <x v="0"/>
          </reference>
          <reference field="18" count="1" selected="0">
            <x v="2"/>
          </reference>
          <reference field="19" count="1" selected="0">
            <x v="2"/>
          </reference>
          <reference field="20" count="1" selected="0">
            <x v="7"/>
          </reference>
          <reference field="21" count="1">
            <x v="3"/>
          </reference>
        </references>
      </pivotArea>
    </format>
    <format dxfId="161">
      <pivotArea dataOnly="0" labelOnly="1" outline="0" fieldPosition="0">
        <references count="5">
          <reference field="17" count="1" selected="0">
            <x v="0"/>
          </reference>
          <reference field="18" count="1" selected="0">
            <x v="2"/>
          </reference>
          <reference field="19" count="1" selected="0">
            <x v="2"/>
          </reference>
          <reference field="20" count="1" selected="0">
            <x v="8"/>
          </reference>
          <reference field="21" count="1">
            <x v="5"/>
          </reference>
        </references>
      </pivotArea>
    </format>
    <format dxfId="160">
      <pivotArea dataOnly="0" labelOnly="1" outline="0" fieldPosition="0">
        <references count="5">
          <reference field="17" count="1" selected="0">
            <x v="0"/>
          </reference>
          <reference field="18" count="1" selected="0">
            <x v="2"/>
          </reference>
          <reference field="19" count="1" selected="0">
            <x v="2"/>
          </reference>
          <reference field="20" count="1" selected="0">
            <x v="11"/>
          </reference>
          <reference field="21" count="4">
            <x v="3"/>
            <x v="5"/>
            <x v="14"/>
            <x v="15"/>
          </reference>
        </references>
      </pivotArea>
    </format>
    <format dxfId="159">
      <pivotArea dataOnly="0" labelOnly="1" outline="0" fieldPosition="0">
        <references count="5">
          <reference field="17" count="1" selected="0">
            <x v="0"/>
          </reference>
          <reference field="18" count="1" selected="0">
            <x v="3"/>
          </reference>
          <reference field="19" count="1" selected="0">
            <x v="4"/>
          </reference>
          <reference field="20" count="1" selected="0">
            <x v="9"/>
          </reference>
          <reference field="21" count="5">
            <x v="7"/>
            <x v="8"/>
            <x v="9"/>
            <x v="10"/>
            <x v="11"/>
          </reference>
        </references>
      </pivotArea>
    </format>
    <format dxfId="158">
      <pivotArea dataOnly="0" labelOnly="1" outline="0" fieldPosition="0">
        <references count="6">
          <reference field="17" count="1" selected="0">
            <x v="0"/>
          </reference>
          <reference field="18" count="1" selected="0">
            <x v="0"/>
          </reference>
          <reference field="19" count="1" selected="0">
            <x v="0"/>
          </reference>
          <reference field="20" count="1" selected="0">
            <x v="2"/>
          </reference>
          <reference field="21" count="1" selected="0">
            <x v="4"/>
          </reference>
          <reference field="22" count="1">
            <x v="11"/>
          </reference>
        </references>
      </pivotArea>
    </format>
    <format dxfId="157">
      <pivotArea dataOnly="0" labelOnly="1" outline="0" fieldPosition="0">
        <references count="6">
          <reference field="17" count="1" selected="0">
            <x v="0"/>
          </reference>
          <reference field="18" count="1" selected="0">
            <x v="0"/>
          </reference>
          <reference field="19" count="1" selected="0">
            <x v="0"/>
          </reference>
          <reference field="20" count="1" selected="0">
            <x v="3"/>
          </reference>
          <reference field="21" count="1" selected="0">
            <x v="0"/>
          </reference>
          <reference field="22" count="1">
            <x v="14"/>
          </reference>
        </references>
      </pivotArea>
    </format>
    <format dxfId="156">
      <pivotArea dataOnly="0" labelOnly="1" outline="0" fieldPosition="0">
        <references count="6">
          <reference field="17" count="1" selected="0">
            <x v="0"/>
          </reference>
          <reference field="18" count="1" selected="0">
            <x v="0"/>
          </reference>
          <reference field="19" count="1" selected="0">
            <x v="0"/>
          </reference>
          <reference field="20" count="1" selected="0">
            <x v="3"/>
          </reference>
          <reference field="21" count="1" selected="0">
            <x v="2"/>
          </reference>
          <reference field="22" count="1">
            <x v="13"/>
          </reference>
        </references>
      </pivotArea>
    </format>
    <format dxfId="155">
      <pivotArea dataOnly="0" labelOnly="1" outline="0" fieldPosition="0">
        <references count="6">
          <reference field="17" count="1" selected="0">
            <x v="0"/>
          </reference>
          <reference field="18" count="1" selected="0">
            <x v="0"/>
          </reference>
          <reference field="19" count="1" selected="0">
            <x v="0"/>
          </reference>
          <reference field="20" count="1" selected="0">
            <x v="3"/>
          </reference>
          <reference field="21" count="1" selected="0">
            <x v="6"/>
          </reference>
          <reference field="22" count="1">
            <x v="15"/>
          </reference>
        </references>
      </pivotArea>
    </format>
    <format dxfId="154">
      <pivotArea dataOnly="0" labelOnly="1" outline="0" fieldPosition="0">
        <references count="6">
          <reference field="17" count="1" selected="0">
            <x v="0"/>
          </reference>
          <reference field="18" count="1" selected="0">
            <x v="0"/>
          </reference>
          <reference field="19" count="1" selected="0">
            <x v="0"/>
          </reference>
          <reference field="20" count="1" selected="0">
            <x v="3"/>
          </reference>
          <reference field="21" count="1" selected="0">
            <x v="13"/>
          </reference>
          <reference field="22" count="1">
            <x v="12"/>
          </reference>
        </references>
      </pivotArea>
    </format>
    <format dxfId="153">
      <pivotArea dataOnly="0" labelOnly="1" outline="0" fieldPosition="0">
        <references count="6">
          <reference field="17" count="1" selected="0">
            <x v="0"/>
          </reference>
          <reference field="18" count="1" selected="0">
            <x v="1"/>
          </reference>
          <reference field="19" count="1" selected="0">
            <x v="1"/>
          </reference>
          <reference field="20" count="1" selected="0">
            <x v="1"/>
          </reference>
          <reference field="21" count="1" selected="0">
            <x v="1"/>
          </reference>
          <reference field="22" count="1">
            <x v="8"/>
          </reference>
        </references>
      </pivotArea>
    </format>
    <format dxfId="152">
      <pivotArea dataOnly="0" labelOnly="1" outline="0" fieldPosition="0">
        <references count="6">
          <reference field="17" count="1" selected="0">
            <x v="0"/>
          </reference>
          <reference field="18" count="1" selected="0">
            <x v="2"/>
          </reference>
          <reference field="19" count="1" selected="0">
            <x v="2"/>
          </reference>
          <reference field="20" count="1" selected="0">
            <x v="5"/>
          </reference>
          <reference field="21" count="1" selected="0">
            <x v="14"/>
          </reference>
          <reference field="22" count="3">
            <x v="18"/>
            <x v="19"/>
            <x v="20"/>
          </reference>
        </references>
      </pivotArea>
    </format>
    <format dxfId="151">
      <pivotArea dataOnly="0" labelOnly="1" outline="0" fieldPosition="0">
        <references count="6">
          <reference field="17" count="1" selected="0">
            <x v="0"/>
          </reference>
          <reference field="18" count="1" selected="0">
            <x v="2"/>
          </reference>
          <reference field="19" count="1" selected="0">
            <x v="2"/>
          </reference>
          <reference field="20" count="1" selected="0">
            <x v="6"/>
          </reference>
          <reference field="21" count="1" selected="0">
            <x v="15"/>
          </reference>
          <reference field="22" count="1">
            <x v="21"/>
          </reference>
        </references>
      </pivotArea>
    </format>
    <format dxfId="150">
      <pivotArea dataOnly="0" labelOnly="1" outline="0" fieldPosition="0">
        <references count="6">
          <reference field="17" count="1" selected="0">
            <x v="0"/>
          </reference>
          <reference field="18" count="1" selected="0">
            <x v="2"/>
          </reference>
          <reference field="19" count="1" selected="0">
            <x v="2"/>
          </reference>
          <reference field="20" count="1" selected="0">
            <x v="7"/>
          </reference>
          <reference field="21" count="1" selected="0">
            <x v="3"/>
          </reference>
          <reference field="22" count="1">
            <x v="22"/>
          </reference>
        </references>
      </pivotArea>
    </format>
    <format dxfId="149">
      <pivotArea dataOnly="0" labelOnly="1" outline="0" fieldPosition="0">
        <references count="6">
          <reference field="17" count="1" selected="0">
            <x v="0"/>
          </reference>
          <reference field="18" count="1" selected="0">
            <x v="2"/>
          </reference>
          <reference field="19" count="1" selected="0">
            <x v="2"/>
          </reference>
          <reference field="20" count="1" selected="0">
            <x v="8"/>
          </reference>
          <reference field="21" count="1" selected="0">
            <x v="5"/>
          </reference>
          <reference field="22" count="1">
            <x v="23"/>
          </reference>
        </references>
      </pivotArea>
    </format>
    <format dxfId="148">
      <pivotArea dataOnly="0" labelOnly="1" outline="0" fieldPosition="0">
        <references count="6">
          <reference field="17" count="1" selected="0">
            <x v="0"/>
          </reference>
          <reference field="18" count="1" selected="0">
            <x v="2"/>
          </reference>
          <reference field="19" count="1" selected="0">
            <x v="2"/>
          </reference>
          <reference field="20" count="1" selected="0">
            <x v="11"/>
          </reference>
          <reference field="21" count="1" selected="0">
            <x v="3"/>
          </reference>
          <reference field="22" count="1">
            <x v="26"/>
          </reference>
        </references>
      </pivotArea>
    </format>
    <format dxfId="147">
      <pivotArea dataOnly="0" labelOnly="1" outline="0" fieldPosition="0">
        <references count="6">
          <reference field="17" count="1" selected="0">
            <x v="0"/>
          </reference>
          <reference field="18" count="1" selected="0">
            <x v="2"/>
          </reference>
          <reference field="19" count="1" selected="0">
            <x v="2"/>
          </reference>
          <reference field="20" count="1" selected="0">
            <x v="11"/>
          </reference>
          <reference field="21" count="1" selected="0">
            <x v="5"/>
          </reference>
          <reference field="22" count="1">
            <x v="27"/>
          </reference>
        </references>
      </pivotArea>
    </format>
    <format dxfId="146">
      <pivotArea dataOnly="0" labelOnly="1" outline="0" fieldPosition="0">
        <references count="6">
          <reference field="17" count="1" selected="0">
            <x v="0"/>
          </reference>
          <reference field="18" count="1" selected="0">
            <x v="2"/>
          </reference>
          <reference field="19" count="1" selected="0">
            <x v="2"/>
          </reference>
          <reference field="20" count="1" selected="0">
            <x v="11"/>
          </reference>
          <reference field="21" count="1" selected="0">
            <x v="14"/>
          </reference>
          <reference field="22" count="1">
            <x v="24"/>
          </reference>
        </references>
      </pivotArea>
    </format>
    <format dxfId="145">
      <pivotArea dataOnly="0" labelOnly="1" outline="0" fieldPosition="0">
        <references count="6">
          <reference field="17" count="1" selected="0">
            <x v="0"/>
          </reference>
          <reference field="18" count="1" selected="0">
            <x v="2"/>
          </reference>
          <reference field="19" count="1" selected="0">
            <x v="2"/>
          </reference>
          <reference field="20" count="1" selected="0">
            <x v="11"/>
          </reference>
          <reference field="21" count="1" selected="0">
            <x v="15"/>
          </reference>
          <reference field="22" count="1">
            <x v="25"/>
          </reference>
        </references>
      </pivotArea>
    </format>
    <format dxfId="144">
      <pivotArea dataOnly="0" labelOnly="1" outline="0" fieldPosition="0">
        <references count="6">
          <reference field="17" count="1" selected="0">
            <x v="0"/>
          </reference>
          <reference field="18" count="1" selected="0">
            <x v="3"/>
          </reference>
          <reference field="19" count="1" selected="0">
            <x v="4"/>
          </reference>
          <reference field="20" count="1" selected="0">
            <x v="9"/>
          </reference>
          <reference field="21" count="1" selected="0">
            <x v="7"/>
          </reference>
          <reference field="22" count="1">
            <x v="2"/>
          </reference>
        </references>
      </pivotArea>
    </format>
    <format dxfId="143">
      <pivotArea dataOnly="0" labelOnly="1" outline="0" fieldPosition="0">
        <references count="6">
          <reference field="17" count="1" selected="0">
            <x v="0"/>
          </reference>
          <reference field="18" count="1" selected="0">
            <x v="3"/>
          </reference>
          <reference field="19" count="1" selected="0">
            <x v="4"/>
          </reference>
          <reference field="20" count="1" selected="0">
            <x v="9"/>
          </reference>
          <reference field="21" count="1" selected="0">
            <x v="8"/>
          </reference>
          <reference field="22" count="2">
            <x v="3"/>
            <x v="6"/>
          </reference>
        </references>
      </pivotArea>
    </format>
    <format dxfId="142">
      <pivotArea dataOnly="0" labelOnly="1" outline="0" fieldPosition="0">
        <references count="6">
          <reference field="17" count="1" selected="0">
            <x v="0"/>
          </reference>
          <reference field="18" count="1" selected="0">
            <x v="3"/>
          </reference>
          <reference field="19" count="1" selected="0">
            <x v="4"/>
          </reference>
          <reference field="20" count="1" selected="0">
            <x v="9"/>
          </reference>
          <reference field="21" count="1" selected="0">
            <x v="9"/>
          </reference>
          <reference field="22" count="1">
            <x v="4"/>
          </reference>
        </references>
      </pivotArea>
    </format>
    <format dxfId="141">
      <pivotArea dataOnly="0" labelOnly="1" outline="0" fieldPosition="0">
        <references count="6">
          <reference field="17" count="1" selected="0">
            <x v="0"/>
          </reference>
          <reference field="18" count="1" selected="0">
            <x v="3"/>
          </reference>
          <reference field="19" count="1" selected="0">
            <x v="4"/>
          </reference>
          <reference field="20" count="1" selected="0">
            <x v="9"/>
          </reference>
          <reference field="21" count="1" selected="0">
            <x v="10"/>
          </reference>
          <reference field="22" count="1">
            <x v="5"/>
          </reference>
        </references>
      </pivotArea>
    </format>
    <format dxfId="140">
      <pivotArea dataOnly="0" labelOnly="1" outline="0" fieldPosition="0">
        <references count="6">
          <reference field="17" count="1" selected="0">
            <x v="0"/>
          </reference>
          <reference field="18" count="1" selected="0">
            <x v="3"/>
          </reference>
          <reference field="19" count="1" selected="0">
            <x v="4"/>
          </reference>
          <reference field="20" count="1" selected="0">
            <x v="9"/>
          </reference>
          <reference field="21" count="1" selected="0">
            <x v="11"/>
          </reference>
          <reference field="22" count="1">
            <x v="7"/>
          </reference>
        </references>
      </pivotArea>
    </format>
  </formats>
  <pivotTableStyleInfo name="UniqueBQ2 2 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CFD22A2-4727-4C1B-83BD-92CDC501259E}">
  <we:reference id="wa200003696" version="1.3.0.0" store="zh-CN" storeType="OMEX"/>
  <we:alternateReferences>
    <we:reference id="WA200003696" version="1.3.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867B85C-A15D-4AD4-A744-2F3DEBB46254}">
  <we:reference id="wa200005271" version="2.5.4.0" store="en-US" storeType="OMEX"/>
  <we:alternateReferences>
    <we:reference id="wa200005271" version="2.5.4.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BB3572F9-0D3C-48B0-8F12-2D06E87A2520}">
  <we:reference id="wa200005502" version="1.0.0.11" store="zh-CN" storeType="OMEX"/>
  <we:alternateReferences>
    <we:reference id="wa200005502" version="1.0.0.11" store="" storeType="OMEX"/>
  </we:alternateReferences>
  <we:properties>
    <we:property name="docId" value="&quot;-oZB-_HnEl8NCWtLw0TUo&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3626-29B8-49AF-B7E1-F501B2F57B1D}">
  <sheetPr>
    <tabColor rgb="FFC00000"/>
  </sheetPr>
  <dimension ref="A1:AI68"/>
  <sheetViews>
    <sheetView tabSelected="1" zoomScale="70" zoomScaleNormal="70" workbookViewId="0">
      <pane xSplit="5" ySplit="4" topLeftCell="T5" activePane="bottomRight" state="frozen"/>
      <selection activeCell="K47" sqref="K47"/>
      <selection pane="topRight" activeCell="K47" sqref="K47"/>
      <selection pane="bottomLeft" activeCell="K47" sqref="K47"/>
      <selection pane="bottomRight" activeCell="AB5" sqref="AB5"/>
    </sheetView>
  </sheetViews>
  <sheetFormatPr defaultColWidth="8.88671875" defaultRowHeight="10.8" outlineLevelRow="3" outlineLevelCol="1"/>
  <cols>
    <col min="1" max="1" width="9.77734375" style="27" customWidth="1" outlineLevel="1"/>
    <col min="2" max="2" width="5.6640625" style="27" bestFit="1" customWidth="1"/>
    <col min="3" max="3" width="58" style="27" customWidth="1"/>
    <col min="4" max="4" width="8.44140625" style="28" customWidth="1"/>
    <col min="5" max="5" width="8.88671875" style="27" customWidth="1"/>
    <col min="6" max="6" width="12.6640625" style="28" customWidth="1"/>
    <col min="7" max="10" width="14.6640625" style="29" customWidth="1"/>
    <col min="11" max="11" width="21.6640625" style="29" customWidth="1"/>
    <col min="12" max="12" width="5.109375" style="29" customWidth="1"/>
    <col min="13" max="13" width="14.6640625" style="29" customWidth="1" collapsed="1"/>
    <col min="14" max="15" width="14.6640625" style="29" customWidth="1"/>
    <col min="16" max="16" width="14.6640625" style="52" customWidth="1"/>
    <col min="17" max="17" width="21.6640625" style="29" customWidth="1"/>
    <col min="18" max="18" width="18.33203125" style="27" customWidth="1" outlineLevel="1"/>
    <col min="19" max="19" width="11.21875" style="27" customWidth="1" outlineLevel="1"/>
    <col min="20" max="20" width="15.33203125" style="27" customWidth="1" outlineLevel="1"/>
    <col min="21" max="21" width="22" style="27" customWidth="1" outlineLevel="1"/>
    <col min="22" max="22" width="19.5546875" style="27" customWidth="1" outlineLevel="1"/>
    <col min="23" max="23" width="13.77734375" style="27" customWidth="1" outlineLevel="1"/>
    <col min="24" max="24" width="19.6640625" style="27" customWidth="1" outlineLevel="1"/>
    <col min="25" max="26" width="18.6640625" style="27" customWidth="1"/>
    <col min="27" max="27" width="14.109375" style="27" customWidth="1"/>
    <col min="28" max="28" width="18.6640625" style="27" customWidth="1" collapsed="1"/>
    <col min="29" max="29" width="8.77734375" style="27" customWidth="1"/>
    <col min="30" max="30" width="6.109375" style="29" customWidth="1"/>
    <col min="31" max="33" width="15.21875" style="29" customWidth="1"/>
    <col min="34" max="34" width="19.44140625" style="29" customWidth="1"/>
    <col min="35" max="35" width="15.77734375" style="29" bestFit="1" customWidth="1"/>
    <col min="36" max="41" width="8.88671875" style="27" customWidth="1"/>
    <col min="42" max="16384" width="8.88671875" style="27"/>
  </cols>
  <sheetData>
    <row r="1" spans="1:35" s="99" customFormat="1" ht="17.399999999999999">
      <c r="A1" s="83"/>
      <c r="B1" s="84"/>
      <c r="C1" s="85"/>
      <c r="D1" s="84"/>
      <c r="E1" s="84"/>
      <c r="F1" s="86" t="s">
        <v>182</v>
      </c>
      <c r="G1" s="87"/>
      <c r="H1" s="88"/>
      <c r="I1" s="88"/>
      <c r="J1" s="88"/>
      <c r="K1" s="89"/>
      <c r="L1" s="90"/>
      <c r="M1" s="91" t="s">
        <v>183</v>
      </c>
      <c r="N1" s="92"/>
      <c r="O1" s="92"/>
      <c r="P1" s="92"/>
      <c r="Q1" s="93"/>
      <c r="R1" s="94" t="s">
        <v>184</v>
      </c>
      <c r="S1" s="95"/>
      <c r="T1" s="95"/>
      <c r="U1" s="95"/>
      <c r="V1" s="95"/>
      <c r="W1" s="95"/>
      <c r="X1" s="95"/>
      <c r="Y1" s="95"/>
      <c r="Z1" s="95"/>
      <c r="AA1" s="95"/>
      <c r="AB1" s="95"/>
      <c r="AC1" s="96"/>
      <c r="AD1" s="90"/>
      <c r="AE1" s="97" t="s">
        <v>185</v>
      </c>
      <c r="AF1" s="97"/>
      <c r="AG1" s="98"/>
      <c r="AH1" s="97"/>
      <c r="AI1" s="97"/>
    </row>
    <row r="2" spans="1:35" s="113" customFormat="1" ht="12" customHeight="1">
      <c r="A2" s="100"/>
      <c r="B2" s="100"/>
      <c r="C2" s="100"/>
      <c r="D2" s="100"/>
      <c r="E2" s="100"/>
      <c r="F2" s="101"/>
      <c r="G2" s="102">
        <v>1.23</v>
      </c>
      <c r="H2" s="102">
        <v>1.23</v>
      </c>
      <c r="I2" s="102">
        <v>1.23</v>
      </c>
      <c r="J2" s="102"/>
      <c r="K2" s="103"/>
      <c r="L2" s="104"/>
      <c r="M2" s="105"/>
      <c r="N2" s="106"/>
      <c r="O2" s="106"/>
      <c r="P2" s="106"/>
      <c r="Q2" s="107"/>
      <c r="R2" s="108"/>
      <c r="S2" s="109"/>
      <c r="T2" s="109"/>
      <c r="U2" s="109"/>
      <c r="V2" s="109"/>
      <c r="W2" s="109"/>
      <c r="X2" s="109" t="str">
        <f>IF(E2&gt;0,TRIM(_xlfn.REGEXREPLACE(_xlfn.REGEXREPLACE(C2,"^\s*(?:\d+\.\d+(?:\.\d+)*|-)\s+", ""),"[。.]+$", "")), "")</f>
        <v/>
      </c>
      <c r="Y2" s="109"/>
      <c r="Z2" s="109"/>
      <c r="AA2" s="109"/>
      <c r="AB2" s="109"/>
      <c r="AC2" s="110"/>
      <c r="AD2" s="104"/>
      <c r="AE2" s="111">
        <v>1.05</v>
      </c>
      <c r="AF2" s="111"/>
      <c r="AG2" s="112">
        <v>7.0000000000000007E-2</v>
      </c>
      <c r="AH2" s="111"/>
      <c r="AI2" s="111"/>
    </row>
    <row r="3" spans="1:35" s="130" customFormat="1" ht="24" customHeight="1">
      <c r="A3" s="114" t="s">
        <v>186</v>
      </c>
      <c r="B3" s="115" t="s">
        <v>0</v>
      </c>
      <c r="C3" s="116" t="s">
        <v>1</v>
      </c>
      <c r="D3" s="115" t="s">
        <v>2</v>
      </c>
      <c r="E3" s="117" t="s">
        <v>187</v>
      </c>
      <c r="F3" s="118" t="s">
        <v>3</v>
      </c>
      <c r="G3" s="119" t="s">
        <v>110</v>
      </c>
      <c r="H3" s="120" t="s">
        <v>10</v>
      </c>
      <c r="I3" s="120" t="s">
        <v>111</v>
      </c>
      <c r="J3" s="120" t="s">
        <v>188</v>
      </c>
      <c r="K3" s="120" t="s">
        <v>189</v>
      </c>
      <c r="L3" s="121"/>
      <c r="M3" s="122" t="s">
        <v>110</v>
      </c>
      <c r="N3" s="123" t="s">
        <v>10</v>
      </c>
      <c r="O3" s="123" t="s">
        <v>111</v>
      </c>
      <c r="P3" s="123" t="s">
        <v>188</v>
      </c>
      <c r="Q3" s="124" t="s">
        <v>189</v>
      </c>
      <c r="R3" s="125" t="s">
        <v>5</v>
      </c>
      <c r="S3" s="126" t="s">
        <v>6</v>
      </c>
      <c r="T3" s="126" t="s">
        <v>7</v>
      </c>
      <c r="U3" s="126" t="s">
        <v>8</v>
      </c>
      <c r="V3" s="126" t="s">
        <v>9</v>
      </c>
      <c r="W3" s="126" t="s">
        <v>96</v>
      </c>
      <c r="X3" s="126" t="s">
        <v>95</v>
      </c>
      <c r="Y3" s="127" t="s">
        <v>190</v>
      </c>
      <c r="Z3" s="127" t="s">
        <v>191</v>
      </c>
      <c r="AA3" s="127" t="s">
        <v>192</v>
      </c>
      <c r="AB3" s="127" t="s">
        <v>193</v>
      </c>
      <c r="AC3" s="128"/>
      <c r="AD3" s="121"/>
      <c r="AE3" s="129" t="s">
        <v>110</v>
      </c>
      <c r="AF3" s="129" t="s">
        <v>10</v>
      </c>
      <c r="AG3" s="129" t="s">
        <v>111</v>
      </c>
      <c r="AH3" s="129" t="s">
        <v>188</v>
      </c>
      <c r="AI3" s="129" t="s">
        <v>189</v>
      </c>
    </row>
    <row r="4" spans="1:35" s="26" customFormat="1" ht="13.2">
      <c r="A4" s="26" t="str" cm="1">
        <f t="array" ref="A4">_xlfn.LET(
 _xlpm.Item,C4,
 _xlpm.Unit,D4,
 _xlpm.DataRng,$C$4:C4,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_xlpm.Strip(_xlpm.Level1)&amp;"|"&amp;_xlpm.Strip(_xlpm.Level2)&amp;"|"&amp;_xlpm.Strip(_xlpm.Level3)&amp;"|"&amp;_xlpm.Hash(_xlpm.Item&amp;"@"&amp;_xlpm.Unit&amp;E4)
)</f>
      </c>
      <c r="W4" s="38" t="str" cm="1">
        <f t="array" ref="W4">_xlfn.LET(
    _xlpm.Item,S4,
    _xlpm.Unit,X4,
    _xlpm.Hash,_xlfn.LAMBDA(_xlpm.x,IF(LEN(_xlpm.x)=0,0,SUMPRODUCT(CODE(MID(_xlpm.x,_xlfn.SEQUENCE(LEN(_xlpm.x)),1))*_xlfn.SEQUENCE(LEN(_xlpm.x))))),
    _xlpm.Item&amp;"|"&amp;_xlpm.Hash(_xlpm.Unit)
)</f>
      </c>
    </row>
    <row r="5" spans="1:35" ht="12" customHeight="1">
      <c r="A5" s="26"/>
      <c r="B5" s="42"/>
      <c r="C5" s="42" t="s">
        <v>194</v>
      </c>
      <c r="D5" s="30"/>
      <c r="E5" s="31"/>
      <c r="F5" s="30"/>
      <c r="G5" s="41"/>
      <c r="H5" s="41"/>
      <c r="I5" s="41"/>
      <c r="J5" s="41"/>
      <c r="K5" s="41">
        <f>_xlfn.LET(
  _xlpm.cnt, IFERROR(_xlfn.XMATCH("*【*",
         INDEX($C:$C,ROW()+1):INDEX($C:$C,ROW()+5000), 2) - 1, 5000),
  IF(_xlpm.cnt &lt; 1, 0,
     SUBTOTAL(9, INDEX(K:K,ROW()+1):INDEX(K:K,ROW()+_xlpm.cnt)))
)</f>
      </c>
      <c r="L5" s="41"/>
      <c r="M5" s="41"/>
      <c r="N5" s="41"/>
      <c r="O5" s="41"/>
      <c r="P5" s="41"/>
      <c r="Q5" s="41">
        <f>_xlfn.LET(
  _xlpm.cnt, IFERROR(_xlfn.XMATCH("*【*",
         INDEX($C:$C,ROW()+1):INDEX($C:$C,ROW()+5000), 2) - 1, 5000),
  IF(_xlpm.cnt &lt; 1, 0,
     SUBTOTAL(9, INDEX($Q:$Q,ROW()+1):INDEX($Q:$Q,ROW()+_xlpm.cnt)))
)</f>
      </c>
      <c r="R5" s="42"/>
      <c r="S5" s="42"/>
      <c r="T5" s="42"/>
      <c r="U5" s="42"/>
      <c r="V5" s="42"/>
      <c r="W5" s="42"/>
      <c r="X5" s="42" t="str">
        <f t="shared" ref="X5:X29" si="0">IF(E5&gt;0,TRIM(_xlfn.REGEXREPLACE(_xlfn.REGEXREPLACE(C5,"^\s*(?:\d+\.\d+(?:\.\d+)*|-)\s+", ""),"[。.]+$", "")), "")</f>
        <v/>
      </c>
      <c r="Y5" s="41"/>
      <c r="Z5" s="41">
        <f>_xlfn.LET(
  _xlpm.cnt, IFERROR(_xlfn.XMATCH("*【*",
         INDEX($C:$C,ROW()+1):INDEX($C:$C,ROW()+5000), 2) - 1, 5000),
  IF(_xlpm.cnt &lt; 1, 0,
     SUBTOTAL(9, INDEX(Z:Z,ROW()+1):INDEX(Z:Z,ROW()+_xlpm.cnt)))
)</f>
      </c>
      <c r="AA5" s="41"/>
      <c r="AB5" s="41">
        <f>_xlfn.LET(
  _xlpm.cnt, IFERROR(_xlfn.XMATCH("*【*",
         INDEX($C:$C,ROW()+1):INDEX($C:$C,ROW()+5000), 2) - 1, 5000),
  IF(_xlpm.cnt &lt; 1, 0,
     SUBTOTAL(9, INDEX(AB:AB,ROW()+1):INDEX(AB:AB,ROW()+_xlpm.cnt)))
)</f>
      </c>
      <c r="AC5" s="41"/>
      <c r="AD5" s="41"/>
      <c r="AE5" s="41"/>
      <c r="AF5" s="41"/>
      <c r="AG5" s="41"/>
      <c r="AH5" s="41"/>
      <c r="AI5" s="41">
        <f>_xlfn.LET(
  _xlpm.cnt, IFERROR(_xlfn.XMATCH("*【*",
         INDEX($C:$C,ROW()+1):INDEX($C:$C,ROW()+5000), 2) - 1, 5000),
  IF(_xlpm.cnt &lt; 1, 0,
     SUBTOTAL(9, INDEX(AI:AI,ROW()+1):INDEX(AI:AI,ROW()+_xlpm.cnt)))
)</f>
      </c>
    </row>
    <row r="6" spans="1:35" ht="14.4" customHeight="1" outlineLevel="1">
      <c r="A6" s="26"/>
      <c r="B6" s="44"/>
      <c r="C6" s="44" t="s">
        <v>195</v>
      </c>
      <c r="D6" s="32"/>
      <c r="E6" s="33"/>
      <c r="F6" s="32"/>
      <c r="G6" s="43"/>
      <c r="H6" s="43"/>
      <c r="I6" s="43"/>
      <c r="J6" s="43"/>
      <c r="K6" s="43">
        <f t="array" ref="K6">_xlfn.LET(
  _xlpm.跨度, 500,
  _xlpm.区,   INDEX($C:$C,ROW()+1):INDEX($C:$C,ROW()+_xlpm.跨度),
  _xlpm.cnt,  IFERROR(_xlfn.XMATCH(TRUE, _xlfn.REGEXTEST(_xlpm.区, "[《【]")) - 1, _xlpm.跨度),
  IF(_xlpm.cnt &lt; 1, 0,
     SUBTOTAL(9, INDEX(K:K,ROW()+1):INDEX(K:K,ROW()+_xlpm.cnt)))
)</f>
      </c>
      <c r="L6" s="43"/>
      <c r="M6" s="43"/>
      <c r="N6" s="43"/>
      <c r="O6" s="43"/>
      <c r="P6" s="43"/>
      <c r="Q6" s="43">
        <f t="array" ref="Q6">_xlfn.LET(
  _xlpm.跨度, 500,
  _xlpm.区,   INDEX($C:$C,ROW()+1):INDEX($C:$C,ROW()+_xlpm.跨度),
  _xlpm.cnt,  IFERROR(_xlfn.XMATCH(TRUE, _xlfn.REGEXTEST(_xlpm.区, "[《【]")) - 1, _xlpm.跨度),
  IF(_xlpm.cnt &lt; 1, 0,
     SUBTOTAL(9, INDEX(Q:Q,ROW()+1):INDEX(Q:Q,ROW()+_xlpm.cnt)))
)</f>
      </c>
      <c r="R6" s="44"/>
      <c r="S6" s="44"/>
      <c r="T6" s="44"/>
      <c r="U6" s="44"/>
      <c r="V6" s="44"/>
      <c r="W6" s="44"/>
      <c r="X6" s="44" t="str">
        <f t="shared" si="0"/>
        <v/>
      </c>
      <c r="Y6" s="43"/>
      <c r="Z6" s="43">
        <f t="array" ref="Z6">_xlfn.LET(
  _xlpm.跨度, 500,
  _xlpm.区,   INDEX($C:$C,ROW()+1):INDEX($C:$C,ROW()+_xlpm.跨度),
  _xlpm.cnt,  IFERROR(_xlfn.XMATCH(TRUE, _xlfn.REGEXTEST(_xlpm.区, "[《【]")) - 1, _xlpm.跨度),
  IF(_xlpm.cnt &lt; 1, 0,
     SUBTOTAL(9, INDEX(Z:Z,ROW()+1):INDEX(Z:Z,ROW()+_xlpm.cnt)))
)</f>
      </c>
      <c r="AA6" s="43"/>
      <c r="AB6" s="43">
        <f t="array" ref="AB6">_xlfn.LET(
  _xlpm.跨度, 500,
  _xlpm.区,   INDEX($C:$C,ROW()+1):INDEX($C:$C,ROW()+_xlpm.跨度),
  _xlpm.cnt,  IFERROR(_xlfn.XMATCH(TRUE, _xlfn.REGEXTEST(_xlpm.区, "[《【]")) - 1, _xlpm.跨度),
  IF(_xlpm.cnt &lt; 1, 0,
     SUBTOTAL(9, INDEX(AB:AB,ROW()+1):INDEX(AB:AB,ROW()+_xlpm.cnt)))
)</f>
      </c>
      <c r="AC6" s="43"/>
      <c r="AD6" s="43"/>
      <c r="AE6" s="43"/>
      <c r="AF6" s="43"/>
      <c r="AG6" s="43"/>
      <c r="AH6" s="43"/>
      <c r="AI6" s="43">
        <f t="array" ref="AI6">_xlfn.LET(
  _xlpm.跨度, 500,
  _xlpm.区,   INDEX($C:$C,ROW()+1):INDEX($C:$C,ROW()+_xlpm.跨度),
  _xlpm.cnt,  IFERROR(_xlfn.XMATCH(TRUE, _xlfn.REGEXTEST(_xlpm.区, "[《【]")) - 1, _xlpm.跨度),
  IF(_xlpm.cnt &lt; 1, 0,
     SUBTOTAL(9, INDEX(AI:AI,ROW()+1):INDEX(AI:AI,ROW()+_xlpm.cnt)))
)</f>
      </c>
    </row>
    <row r="7" spans="1:35" ht="12" customHeight="1" outlineLevel="2">
      <c r="A7" s="26"/>
      <c r="B7" s="46"/>
      <c r="C7" s="46" t="s">
        <v>205</v>
      </c>
      <c r="D7" s="35"/>
      <c r="E7" s="36"/>
      <c r="F7" s="35"/>
      <c r="G7" s="45"/>
      <c r="H7" s="45"/>
      <c r="I7" s="45"/>
      <c r="J7" s="45"/>
      <c r="K7" s="45"/>
      <c r="L7" s="45"/>
      <c r="M7" s="45"/>
      <c r="N7" s="45"/>
      <c r="O7" s="45"/>
      <c r="P7" s="45"/>
      <c r="Q7" s="45"/>
      <c r="R7" s="46"/>
      <c r="S7" s="46"/>
      <c r="T7" s="46"/>
      <c r="U7" s="46"/>
      <c r="V7" s="46"/>
      <c r="W7" s="46"/>
      <c r="X7" s="46" t="str">
        <f t="shared" si="0"/>
        <v/>
      </c>
      <c r="Y7" s="45"/>
      <c r="Z7" s="45"/>
      <c r="AA7" s="45"/>
      <c r="AB7" s="45"/>
      <c r="AC7" s="45"/>
      <c r="AD7" s="45"/>
      <c r="AE7" s="45"/>
      <c r="AF7" s="45"/>
      <c r="AG7" s="45"/>
      <c r="AH7" s="45"/>
      <c r="AI7" s="45"/>
    </row>
    <row r="8" spans="1:35" ht="13.2" customHeight="1" outlineLevel="3">
      <c r="A8" s="26" t="str" cm="1">
        <f t="array" ref="A8">_xlfn.LET(
 _xlpm.Item,C8,
 _xlpm.Unit,D8,
 _xlpm.DataRng,$C$4:C8,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_xlpm.Strip(_xlpm.Level1)&amp;"|"&amp;_xlpm.Strip(_xlpm.Level2)&amp;"|"&amp;_xlpm.Strip(_xlpm.Level3)&amp;"|"&amp;_xlpm.Hash(_xlpm.Item&amp;"@"&amp;_xlpm.Unit&amp;E8)
)</f>
      </c>
      <c r="B8" s="38" t="s">
        <v>206</v>
      </c>
      <c r="C8" s="38" t="s">
        <v>207</v>
      </c>
      <c r="D8" s="34" t="s">
        <v>0</v>
      </c>
      <c r="E8" s="37">
        <v>598</v>
      </c>
      <c r="F8" s="34"/>
      <c r="G8" s="37">
        <f t="shared" ref="G8:I15" si="1">PRODUCT(M8*G$2,$F8)</f>
      </c>
      <c r="H8" s="37">
        <f t="shared" si="1"/>
      </c>
      <c r="I8" s="37">
        <f t="shared" si="1"/>
      </c>
      <c r="J8" s="37"/>
      <c r="K8" s="37">
        <f t="shared" ref="K8:K15" si="2">J8*$E8</f>
      </c>
      <c r="L8" s="37"/>
      <c r="M8" s="37">
        <f t="shared" ref="M8:M15" si="3">P8*75%</f>
      </c>
      <c r="N8" s="37"/>
      <c r="O8" s="37"/>
      <c r="P8" s="51"/>
      <c r="Q8" s="37">
        <f t="shared" ref="Q8:Q15" si="4">P8*$E8</f>
      </c>
      <c r="R8" s="38" t="s">
        <v>203</v>
      </c>
      <c r="S8" s="38" t="s">
        <v>35</v>
      </c>
      <c r="T8" s="38" t="s">
        <v>208</v>
      </c>
      <c r="U8" s="38" t="s">
        <v>209</v>
      </c>
      <c r="V8" s="38" t="s">
        <v>210</v>
      </c>
      <c r="W8" s="38" t="str" cm="1">
        <f t="array" ref="W8">_xlfn.LET(
    _xlpm.Item,S8,
    _xlpm.Unit,X8,
    _xlpm.Hash,_xlfn.LAMBDA(_xlpm.x,IF(LEN(_xlpm.x)=0,0,SUMPRODUCT(CODE(MID(_xlpm.x,_xlfn.SEQUENCE(LEN(_xlpm.x)),1))*_xlfn.SEQUENCE(LEN(_xlpm.x))))),
    _xlpm.Item&amp;"|"&amp;_xlpm.Hash(_xlpm.Unit)
)</f>
      </c>
      <c r="X8" s="38" t="str">
        <f t="shared" si="0"/>
      </c>
      <c r="Y8" s="37" cm="1">
        <f t="array" ref="Y8">IFERROR(VLOOKUP(W8,UniqueShot!F:AJ,COLUMN(UniqueShot!AI:AI)-COLUMN(UniqueShot!F:F)+1,FALSE),0)</f>
      </c>
      <c r="Z8" s="37">
        <f t="shared" ref="Z8:Z15" si="5">Y8*$E8</f>
      </c>
      <c r="AA8" s="37">
        <f>IFERROR(VLOOKUP(W8,UniqueShot!F:M,5,FALSE),0)</f>
      </c>
      <c r="AB8" s="37">
        <f>AA8*$E8</f>
      </c>
      <c r="AC8" s="37"/>
      <c r="AD8" s="37"/>
      <c r="AE8" s="37"/>
      <c r="AF8" s="37"/>
      <c r="AG8" s="37"/>
      <c r="AH8" s="37"/>
      <c r="AI8" s="37">
        <f t="shared" ref="AI8:AI15" si="6">AH8*$E8</f>
      </c>
    </row>
    <row r="9" spans="1:35" ht="13.2" customHeight="1" outlineLevel="3">
      <c r="A9" s="26" t="str" cm="1">
        <f t="array" ref="A9">_xlfn.LET(
 _xlpm.Item,C9,
 _xlpm.Unit,D9,
 _xlpm.DataRng,$C$4:C9,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_xlpm.Strip(_xlpm.Level1)&amp;"|"&amp;_xlpm.Strip(_xlpm.Level2)&amp;"|"&amp;_xlpm.Strip(_xlpm.Level3)&amp;"|"&amp;_xlpm.Hash(_xlpm.Item&amp;"@"&amp;_xlpm.Unit&amp;E9)
)</f>
      </c>
      <c r="B9" s="38" t="s">
        <v>211</v>
      </c>
      <c r="C9" s="38" t="s">
        <v>212</v>
      </c>
      <c r="D9" s="34" t="s">
        <v>0</v>
      </c>
      <c r="E9" s="37">
        <v>598</v>
      </c>
      <c r="F9" s="34"/>
      <c r="G9" s="37">
        <f t="shared" si="1"/>
      </c>
      <c r="H9" s="37">
        <f t="shared" si="1"/>
      </c>
      <c r="I9" s="37">
        <f t="shared" si="1"/>
      </c>
      <c r="J9" s="37"/>
      <c r="K9" s="37">
        <f t="shared" si="2"/>
      </c>
      <c r="L9" s="37"/>
      <c r="M9" s="37">
        <f t="shared" si="3"/>
      </c>
      <c r="N9" s="37"/>
      <c r="O9" s="37"/>
      <c r="P9" s="51"/>
      <c r="Q9" s="37">
        <f t="shared" si="4"/>
      </c>
      <c r="R9" s="38" t="s">
        <v>203</v>
      </c>
      <c r="S9" s="38" t="s">
        <v>35</v>
      </c>
      <c r="T9" s="38" t="s">
        <v>208</v>
      </c>
      <c r="U9" s="38" t="s">
        <v>209</v>
      </c>
      <c r="V9" s="38" t="s">
        <v>213</v>
      </c>
      <c r="W9" s="38" t="str" cm="1">
        <f t="array" ref="W9">_xlfn.LET(
    _xlpm.Item,S9,
    _xlpm.Unit,X9,
    _xlpm.Hash,_xlfn.LAMBDA(_xlpm.x,IF(LEN(_xlpm.x)=0,0,SUMPRODUCT(CODE(MID(_xlpm.x,_xlfn.SEQUENCE(LEN(_xlpm.x)),1))*_xlfn.SEQUENCE(LEN(_xlpm.x))))),
    _xlpm.Item&amp;"|"&amp;_xlpm.Hash(_xlpm.Unit)
)</f>
      </c>
      <c r="X9" s="38" t="str">
        <f t="shared" si="0"/>
      </c>
      <c r="Y9" s="37" cm="1">
        <f t="array" ref="Y9">IFERROR(VLOOKUP(W9,UniqueShot!F:AJ,COLUMN(UniqueShot!AI:AI)-COLUMN(UniqueShot!F:F)+1,FALSE),0)</f>
      </c>
      <c r="Z9" s="37">
        <f t="shared" si="5"/>
      </c>
      <c r="AA9" s="37">
        <f>IFERROR(VLOOKUP(W9,UniqueShot!F:M,5,FALSE),0)</f>
      </c>
      <c r="AB9" s="37">
        <f t="shared" ref="AB8:AB15" si="7">AA9*$E9</f>
      </c>
      <c r="AC9" s="37"/>
      <c r="AD9" s="37"/>
      <c r="AE9" s="37"/>
      <c r="AF9" s="37"/>
      <c r="AG9" s="37"/>
      <c r="AH9" s="37"/>
      <c r="AI9" s="37">
        <f t="shared" si="6"/>
      </c>
    </row>
    <row r="10" spans="1:35" ht="13.2" customHeight="1" outlineLevel="3">
      <c r="A10" s="26" t="str" cm="1">
        <f t="array" ref="A10">_xlfn.LET(
 _xlpm.Item,C10,
 _xlpm.Unit,D10,
 _xlpm.DataRng,$C$4:C10,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_xlpm.Strip(_xlpm.Level1)&amp;"|"&amp;_xlpm.Strip(_xlpm.Level2)&amp;"|"&amp;_xlpm.Strip(_xlpm.Level3)&amp;"|"&amp;_xlpm.Hash(_xlpm.Item&amp;"@"&amp;_xlpm.Unit&amp;E10)
)</f>
      </c>
      <c r="B10" s="38" t="s">
        <v>214</v>
      </c>
      <c r="C10" s="38" t="s">
        <v>215</v>
      </c>
      <c r="D10" s="34" t="s">
        <v>0</v>
      </c>
      <c r="E10" s="37">
        <v>60</v>
      </c>
      <c r="F10" s="34"/>
      <c r="G10" s="37">
        <f t="shared" si="1"/>
      </c>
      <c r="H10" s="37">
        <f t="shared" si="1"/>
      </c>
      <c r="I10" s="37">
        <f t="shared" si="1"/>
      </c>
      <c r="J10" s="37"/>
      <c r="K10" s="37">
        <f t="shared" si="2"/>
      </c>
      <c r="L10" s="37"/>
      <c r="M10" s="37">
        <f t="shared" si="3"/>
      </c>
      <c r="N10" s="37"/>
      <c r="O10" s="37"/>
      <c r="P10" s="51"/>
      <c r="Q10" s="37">
        <f t="shared" si="4"/>
      </c>
      <c r="R10" s="38" t="s">
        <v>203</v>
      </c>
      <c r="S10" s="38" t="s">
        <v>35</v>
      </c>
      <c r="T10" s="38" t="s">
        <v>208</v>
      </c>
      <c r="U10" s="38" t="s">
        <v>209</v>
      </c>
      <c r="V10" s="38" t="s">
        <v>216</v>
      </c>
      <c r="W10" s="38" t="str" cm="1">
        <f t="array" ref="W10">_xlfn.LET(
    _xlpm.Item,S10,
    _xlpm.Unit,X10,
    _xlpm.Hash,_xlfn.LAMBDA(_xlpm.x,IF(LEN(_xlpm.x)=0,0,SUMPRODUCT(CODE(MID(_xlpm.x,_xlfn.SEQUENCE(LEN(_xlpm.x)),1))*_xlfn.SEQUENCE(LEN(_xlpm.x))))),
    _xlpm.Item&amp;"|"&amp;_xlpm.Hash(_xlpm.Unit)
)</f>
      </c>
      <c r="X10" s="38" t="str">
        <f t="shared" si="0"/>
      </c>
      <c r="Y10" s="37" cm="1">
        <f t="array" ref="Y10">IFERROR(VLOOKUP(W10,UniqueShot!F:AJ,COLUMN(UniqueShot!AI:AI)-COLUMN(UniqueShot!F:F)+1,FALSE),0)</f>
      </c>
      <c r="Z10" s="37">
        <f t="shared" si="5"/>
      </c>
      <c r="AA10" s="37">
        <f>IFERROR(VLOOKUP(W10,UniqueShot!F:M,5,FALSE),0)</f>
      </c>
      <c r="AB10" s="37">
        <f t="shared" si="7"/>
      </c>
      <c r="AC10" s="37"/>
      <c r="AD10" s="37"/>
      <c r="AE10" s="37"/>
      <c r="AF10" s="37"/>
      <c r="AG10" s="37"/>
      <c r="AH10" s="37"/>
      <c r="AI10" s="37">
        <f t="shared" si="6"/>
      </c>
    </row>
    <row r="11" spans="1:35" ht="13.2" customHeight="1" outlineLevel="3">
      <c r="A11" s="26" t="str" cm="1">
        <f t="array" ref="A11">_xlfn.LET(
 _xlpm.Item,C11,
 _xlpm.Unit,D11,
 _xlpm.DataRng,$C$4:C11,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_xlpm.Strip(_xlpm.Level1)&amp;"|"&amp;_xlpm.Strip(_xlpm.Level2)&amp;"|"&amp;_xlpm.Strip(_xlpm.Level3)&amp;"|"&amp;_xlpm.Hash(_xlpm.Item&amp;"@"&amp;_xlpm.Unit&amp;E11)
)</f>
      </c>
      <c r="B11" s="38" t="s">
        <v>217</v>
      </c>
      <c r="C11" s="38" t="s">
        <v>218</v>
      </c>
      <c r="D11" s="34" t="s">
        <v>0</v>
      </c>
      <c r="E11" s="37">
        <v>6</v>
      </c>
      <c r="F11" s="34"/>
      <c r="G11" s="37">
        <f t="shared" si="1"/>
      </c>
      <c r="H11" s="37">
        <f t="shared" si="1"/>
      </c>
      <c r="I11" s="37">
        <f t="shared" si="1"/>
      </c>
      <c r="J11" s="37"/>
      <c r="K11" s="37">
        <f t="shared" si="2"/>
      </c>
      <c r="L11" s="37"/>
      <c r="M11" s="37">
        <f t="shared" si="3"/>
      </c>
      <c r="N11" s="37"/>
      <c r="O11" s="37"/>
      <c r="P11" s="51"/>
      <c r="Q11" s="37">
        <f t="shared" si="4"/>
      </c>
      <c r="R11" s="38" t="s">
        <v>203</v>
      </c>
      <c r="S11" s="38" t="s">
        <v>35</v>
      </c>
      <c r="T11" s="38" t="s">
        <v>208</v>
      </c>
      <c r="U11" s="38" t="s">
        <v>209</v>
      </c>
      <c r="V11" s="38" t="s">
        <v>219</v>
      </c>
      <c r="W11" s="38" t="str" cm="1">
        <f t="array" ref="W11">_xlfn.LET(
    _xlpm.Item,S11,
    _xlpm.Unit,X11,
    _xlpm.Hash,_xlfn.LAMBDA(_xlpm.x,IF(LEN(_xlpm.x)=0,0,SUMPRODUCT(CODE(MID(_xlpm.x,_xlfn.SEQUENCE(LEN(_xlpm.x)),1))*_xlfn.SEQUENCE(LEN(_xlpm.x))))),
    _xlpm.Item&amp;"|"&amp;_xlpm.Hash(_xlpm.Unit)
)</f>
      </c>
      <c r="X11" s="38" t="str">
        <f t="shared" si="0"/>
      </c>
      <c r="Y11" s="37" cm="1">
        <f t="array" ref="Y11">IFERROR(VLOOKUP(W11,UniqueShot!F:AJ,COLUMN(UniqueShot!AI:AI)-COLUMN(UniqueShot!F:F)+1,FALSE),0)</f>
      </c>
      <c r="Z11" s="37">
        <f t="shared" si="5"/>
      </c>
      <c r="AA11" s="37">
        <f>IFERROR(VLOOKUP(W11,UniqueShot!F:M,5,FALSE),0)</f>
      </c>
      <c r="AB11" s="37">
        <f t="shared" si="7"/>
      </c>
      <c r="AC11" s="37"/>
      <c r="AD11" s="37"/>
      <c r="AE11" s="37"/>
      <c r="AF11" s="37"/>
      <c r="AG11" s="37"/>
      <c r="AH11" s="37"/>
      <c r="AI11" s="37">
        <f t="shared" si="6"/>
      </c>
    </row>
    <row r="12" spans="1:35" ht="13.2" customHeight="1" outlineLevel="3">
      <c r="A12" s="26" t="str" cm="1">
        <f t="array" ref="A12">_xlfn.LET(
 _xlpm.Item,C12,
 _xlpm.Unit,D12,
 _xlpm.DataRng,$C$4:C12,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_xlpm.Strip(_xlpm.Level1)&amp;"|"&amp;_xlpm.Strip(_xlpm.Level2)&amp;"|"&amp;_xlpm.Strip(_xlpm.Level3)&amp;"|"&amp;_xlpm.Hash(_xlpm.Item&amp;"@"&amp;_xlpm.Unit&amp;E12)
)</f>
      </c>
      <c r="B12" s="38" t="s">
        <v>220</v>
      </c>
      <c r="C12" s="38" t="s">
        <v>221</v>
      </c>
      <c r="D12" s="34" t="s">
        <v>0</v>
      </c>
      <c r="E12" s="37">
        <v>598</v>
      </c>
      <c r="F12" s="34"/>
      <c r="G12" s="37">
        <f t="shared" si="1"/>
      </c>
      <c r="H12" s="37">
        <f t="shared" si="1"/>
      </c>
      <c r="I12" s="37">
        <f t="shared" si="1"/>
      </c>
      <c r="J12" s="37"/>
      <c r="K12" s="37">
        <f t="shared" si="2"/>
      </c>
      <c r="L12" s="37"/>
      <c r="M12" s="37">
        <f t="shared" si="3"/>
      </c>
      <c r="N12" s="37"/>
      <c r="O12" s="37"/>
      <c r="P12" s="51"/>
      <c r="Q12" s="37">
        <f t="shared" si="4"/>
      </c>
      <c r="R12" s="38" t="s">
        <v>203</v>
      </c>
      <c r="S12" s="38" t="s">
        <v>35</v>
      </c>
      <c r="T12" s="38" t="s">
        <v>208</v>
      </c>
      <c r="U12" s="38" t="s">
        <v>209</v>
      </c>
      <c r="V12" s="38" t="s">
        <v>213</v>
      </c>
      <c r="W12" s="38" t="str" cm="1">
        <f t="array" ref="W12">_xlfn.LET(
    _xlpm.Item,S12,
    _xlpm.Unit,X12,
    _xlpm.Hash,_xlfn.LAMBDA(_xlpm.x,IF(LEN(_xlpm.x)=0,0,SUMPRODUCT(CODE(MID(_xlpm.x,_xlfn.SEQUENCE(LEN(_xlpm.x)),1))*_xlfn.SEQUENCE(LEN(_xlpm.x))))),
    _xlpm.Item&amp;"|"&amp;_xlpm.Hash(_xlpm.Unit)
)</f>
      </c>
      <c r="X12" s="38" t="str">
        <f t="shared" si="0"/>
      </c>
      <c r="Y12" s="37" cm="1">
        <f t="array" ref="Y12">IFERROR(VLOOKUP(W12,UniqueShot!F:AJ,COLUMN(UniqueShot!AI:AI)-COLUMN(UniqueShot!F:F)+1,FALSE),0)</f>
      </c>
      <c r="Z12" s="37">
        <f t="shared" si="5"/>
      </c>
      <c r="AA12" s="37">
        <f>IFERROR(VLOOKUP(W12,UniqueShot!F:M,5,FALSE),0)</f>
      </c>
      <c r="AB12" s="37">
        <f t="shared" si="7"/>
      </c>
      <c r="AC12" s="37"/>
      <c r="AD12" s="37"/>
      <c r="AE12" s="37"/>
      <c r="AF12" s="37"/>
      <c r="AG12" s="37"/>
      <c r="AH12" s="37"/>
      <c r="AI12" s="37">
        <f t="shared" si="6"/>
      </c>
    </row>
    <row r="13" spans="1:35" ht="13.2" customHeight="1" outlineLevel="3">
      <c r="A13" s="26" t="str" cm="1">
        <f t="array" ref="A13">_xlfn.LET(
 _xlpm.Item,C13,
 _xlpm.Unit,D13,
 _xlpm.DataRng,$C$4:C13,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_xlpm.Strip(_xlpm.Level1)&amp;"|"&amp;_xlpm.Strip(_xlpm.Level2)&amp;"|"&amp;_xlpm.Strip(_xlpm.Level3)&amp;"|"&amp;_xlpm.Hash(_xlpm.Item&amp;"@"&amp;_xlpm.Unit&amp;E13)
)</f>
      </c>
      <c r="B13" s="38" t="s">
        <v>222</v>
      </c>
      <c r="C13" s="38" t="s">
        <v>223</v>
      </c>
      <c r="D13" s="34" t="s">
        <v>0</v>
      </c>
      <c r="E13" s="37">
        <v>6</v>
      </c>
      <c r="F13" s="34"/>
      <c r="G13" s="37">
        <f t="shared" si="1"/>
      </c>
      <c r="H13" s="37">
        <f t="shared" si="1"/>
      </c>
      <c r="I13" s="37">
        <f t="shared" si="1"/>
      </c>
      <c r="J13" s="37"/>
      <c r="K13" s="37">
        <f t="shared" si="2"/>
      </c>
      <c r="L13" s="37"/>
      <c r="M13" s="37">
        <f t="shared" si="3"/>
      </c>
      <c r="N13" s="37"/>
      <c r="O13" s="37"/>
      <c r="P13" s="51"/>
      <c r="Q13" s="37">
        <f t="shared" si="4"/>
      </c>
      <c r="R13" s="38" t="s">
        <v>203</v>
      </c>
      <c r="S13" s="38" t="s">
        <v>35</v>
      </c>
      <c r="T13" s="38" t="s">
        <v>208</v>
      </c>
      <c r="U13" s="38" t="s">
        <v>209</v>
      </c>
      <c r="V13" s="38" t="s">
        <v>224</v>
      </c>
      <c r="W13" s="38" t="str" cm="1">
        <f t="array" ref="W13">_xlfn.LET(
    _xlpm.Item,S13,
    _xlpm.Unit,X13,
    _xlpm.Hash,_xlfn.LAMBDA(_xlpm.x,IF(LEN(_xlpm.x)=0,0,SUMPRODUCT(CODE(MID(_xlpm.x,_xlfn.SEQUENCE(LEN(_xlpm.x)),1))*_xlfn.SEQUENCE(LEN(_xlpm.x))))),
    _xlpm.Item&amp;"|"&amp;_xlpm.Hash(_xlpm.Unit)
)</f>
      </c>
      <c r="X13" s="38" t="str">
        <f t="shared" si="0"/>
      </c>
      <c r="Y13" s="37" cm="1">
        <f t="array" ref="Y13">IFERROR(VLOOKUP(W13,UniqueShot!F:AJ,COLUMN(UniqueShot!AI:AI)-COLUMN(UniqueShot!F:F)+1,FALSE),0)</f>
      </c>
      <c r="Z13" s="37">
        <f t="shared" si="5"/>
      </c>
      <c r="AA13" s="37">
        <f>IFERROR(VLOOKUP(W13,UniqueShot!F:M,5,FALSE),0)</f>
      </c>
      <c r="AB13" s="37">
        <f t="shared" si="7"/>
      </c>
      <c r="AC13" s="37"/>
      <c r="AD13" s="37"/>
      <c r="AE13" s="37"/>
      <c r="AF13" s="37"/>
      <c r="AG13" s="37"/>
      <c r="AH13" s="37"/>
      <c r="AI13" s="37">
        <f t="shared" si="6"/>
      </c>
    </row>
    <row r="14" spans="1:35" ht="13.2" customHeight="1" outlineLevel="3">
      <c r="A14" s="26" t="str" cm="1">
        <f t="array" ref="A14">_xlfn.LET(
 _xlpm.Item,C14,
 _xlpm.Unit,D14,
 _xlpm.DataRng,$C$4:C14,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_xlpm.Strip(_xlpm.Level1)&amp;"|"&amp;_xlpm.Strip(_xlpm.Level2)&amp;"|"&amp;_xlpm.Strip(_xlpm.Level3)&amp;"|"&amp;_xlpm.Hash(_xlpm.Item&amp;"@"&amp;_xlpm.Unit&amp;E14)
)</f>
      </c>
      <c r="B14" s="38" t="s">
        <v>225</v>
      </c>
      <c r="C14" s="38" t="s">
        <v>226</v>
      </c>
      <c r="D14" s="34" t="s">
        <v>19</v>
      </c>
      <c r="E14" s="37">
        <v>12</v>
      </c>
      <c r="F14" s="34"/>
      <c r="G14" s="37">
        <f t="shared" si="1"/>
      </c>
      <c r="H14" s="37">
        <f t="shared" si="1"/>
      </c>
      <c r="I14" s="37">
        <f t="shared" si="1"/>
      </c>
      <c r="J14" s="37"/>
      <c r="K14" s="37">
        <f t="shared" si="2"/>
      </c>
      <c r="L14" s="37"/>
      <c r="M14" s="37">
        <f t="shared" si="3"/>
      </c>
      <c r="N14" s="37"/>
      <c r="O14" s="37"/>
      <c r="P14" s="51"/>
      <c r="Q14" s="37">
        <f t="shared" si="4"/>
      </c>
      <c r="R14" s="38" t="s">
        <v>203</v>
      </c>
      <c r="S14" s="38" t="s">
        <v>15</v>
      </c>
      <c r="T14" s="38" t="s">
        <v>16</v>
      </c>
      <c r="U14" s="38" t="s">
        <v>17</v>
      </c>
      <c r="V14" s="38" t="s">
        <v>204</v>
      </c>
      <c r="W14" s="38" t="str" cm="1">
        <f t="array" ref="W14">_xlfn.LET(
    _xlpm.Item,S14,
    _xlpm.Unit,X14,
    _xlpm.Hash,_xlfn.LAMBDA(_xlpm.x,IF(LEN(_xlpm.x)=0,0,SUMPRODUCT(CODE(MID(_xlpm.x,_xlfn.SEQUENCE(LEN(_xlpm.x)),1))*_xlfn.SEQUENCE(LEN(_xlpm.x))))),
    _xlpm.Item&amp;"|"&amp;_xlpm.Hash(_xlpm.Unit)
)</f>
      </c>
      <c r="X14" s="38" t="str">
        <f t="shared" si="0"/>
      </c>
      <c r="Y14" s="37" cm="1">
        <f t="array" ref="Y14">IFERROR(VLOOKUP(W14,UniqueShot!F:AJ,COLUMN(UniqueShot!AI:AI)-COLUMN(UniqueShot!F:F)+1,FALSE),0)</f>
      </c>
      <c r="Z14" s="37">
        <f t="shared" si="5"/>
      </c>
      <c r="AA14" s="37">
        <f>IFERROR(VLOOKUP(W14,UniqueShot!F:M,5,FALSE),0)</f>
      </c>
      <c r="AB14" s="37">
        <f t="shared" si="7"/>
      </c>
      <c r="AC14" s="37"/>
      <c r="AD14" s="37"/>
      <c r="AE14" s="37"/>
      <c r="AF14" s="37"/>
      <c r="AG14" s="37"/>
      <c r="AH14" s="37"/>
      <c r="AI14" s="37">
        <f t="shared" si="6"/>
      </c>
    </row>
    <row r="15" spans="1:35" ht="13.2" customHeight="1" outlineLevel="3">
      <c r="A15" s="26" t="str" cm="1">
        <f t="array" ref="A15">_xlfn.LET(
 _xlpm.Item,C15,
 _xlpm.Unit,D15,
 _xlpm.DataRng,$C$4:C15,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_xlpm.Strip(_xlpm.Level1)&amp;"|"&amp;_xlpm.Strip(_xlpm.Level2)&amp;"|"&amp;_xlpm.Strip(_xlpm.Level3)&amp;"|"&amp;_xlpm.Hash(_xlpm.Item&amp;"@"&amp;_xlpm.Unit&amp;E15)
)</f>
      </c>
      <c r="B15" s="38" t="s">
        <v>227</v>
      </c>
      <c r="C15" s="38" t="s">
        <v>228</v>
      </c>
      <c r="D15" s="34" t="s">
        <v>14</v>
      </c>
      <c r="E15" s="37">
        <v>1</v>
      </c>
      <c r="F15" s="34"/>
      <c r="G15" s="37">
        <f t="shared" si="1"/>
      </c>
      <c r="H15" s="37">
        <f t="shared" si="1"/>
      </c>
      <c r="I15" s="37">
        <f t="shared" si="1"/>
      </c>
      <c r="J15" s="37"/>
      <c r="K15" s="37">
        <f t="shared" si="2"/>
      </c>
      <c r="L15" s="37"/>
      <c r="M15" s="37">
        <f t="shared" si="3"/>
      </c>
      <c r="N15" s="37"/>
      <c r="O15" s="37"/>
      <c r="P15" s="51"/>
      <c r="Q15" s="37">
        <f t="shared" si="4"/>
      </c>
      <c r="R15" s="38" t="s">
        <v>203</v>
      </c>
      <c r="S15" s="38" t="s">
        <v>35</v>
      </c>
      <c r="T15" s="38" t="s">
        <v>208</v>
      </c>
      <c r="U15" s="38" t="s">
        <v>229</v>
      </c>
      <c r="V15" s="38" t="s">
        <v>230</v>
      </c>
      <c r="W15" s="38" t="str" cm="1">
        <f t="array" ref="W15">_xlfn.LET(
    _xlpm.Item,S15,
    _xlpm.Unit,X15,
    _xlpm.Hash,_xlfn.LAMBDA(_xlpm.x,IF(LEN(_xlpm.x)=0,0,SUMPRODUCT(CODE(MID(_xlpm.x,_xlfn.SEQUENCE(LEN(_xlpm.x)),1))*_xlfn.SEQUENCE(LEN(_xlpm.x))))),
    _xlpm.Item&amp;"|"&amp;_xlpm.Hash(_xlpm.Unit)
)</f>
      </c>
      <c r="X15" s="38" t="str">
        <f t="shared" si="0"/>
      </c>
      <c r="Y15" s="37" cm="1">
        <f t="array" ref="Y15">IFERROR(VLOOKUP(W15,UniqueShot!F:AJ,COLUMN(UniqueShot!AI:AI)-COLUMN(UniqueShot!F:F)+1,FALSE),0)</f>
      </c>
      <c r="Z15" s="37">
        <f t="shared" si="5"/>
      </c>
      <c r="AA15" s="37">
        <f>IFERROR(VLOOKUP(W15,UniqueShot!F:M,5,FALSE),0)</f>
      </c>
      <c r="AB15" s="37">
        <f t="shared" si="7"/>
      </c>
      <c r="AC15" s="37"/>
      <c r="AD15" s="37"/>
      <c r="AE15" s="37"/>
      <c r="AF15" s="37"/>
      <c r="AG15" s="37"/>
      <c r="AH15" s="37"/>
      <c r="AI15" s="37">
        <f t="shared" si="6"/>
      </c>
    </row>
    <row r="16" spans="1:35" ht="12" customHeight="1" outlineLevel="2">
      <c r="A16" s="26"/>
      <c r="B16" s="46"/>
      <c r="C16" s="46" t="s">
        <v>231</v>
      </c>
      <c r="D16" s="35"/>
      <c r="E16" s="36"/>
      <c r="F16" s="35"/>
      <c r="G16" s="45"/>
      <c r="H16" s="45"/>
      <c r="I16" s="45"/>
      <c r="J16" s="45"/>
      <c r="K16" s="45"/>
      <c r="L16" s="45"/>
      <c r="M16" s="45"/>
      <c r="N16" s="45"/>
      <c r="O16" s="45"/>
      <c r="P16" s="45"/>
      <c r="Q16" s="45"/>
      <c r="R16" s="46"/>
      <c r="S16" s="46"/>
      <c r="T16" s="46"/>
      <c r="U16" s="46"/>
      <c r="V16" s="46"/>
      <c r="W16" s="46"/>
      <c r="X16" s="46" t="str">
        <f t="shared" si="0"/>
        <v/>
      </c>
      <c r="Y16" s="45"/>
      <c r="Z16" s="45"/>
      <c r="AA16" s="45"/>
      <c r="AB16" s="45"/>
      <c r="AC16" s="45"/>
      <c r="AD16" s="45"/>
      <c r="AE16" s="45"/>
      <c r="AF16" s="45"/>
      <c r="AG16" s="45"/>
      <c r="AH16" s="45"/>
      <c r="AI16" s="45"/>
    </row>
    <row r="17" spans="1:35" ht="13.2" customHeight="1" outlineLevel="3">
      <c r="A17" s="26" t="str" cm="1">
        <f t="array" ref="A17">_xlfn.LET(
 _xlpm.Item,C17,
 _xlpm.Unit,D17,
 _xlpm.DataRng,$C$4:C17,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_xlpm.Strip(_xlpm.Level1)&amp;"|"&amp;_xlpm.Strip(_xlpm.Level2)&amp;"|"&amp;_xlpm.Strip(_xlpm.Level3)&amp;"|"&amp;_xlpm.Hash(_xlpm.Item&amp;"@"&amp;_xlpm.Unit&amp;E17)
)</f>
      </c>
      <c r="B17" s="38" t="s">
        <v>232</v>
      </c>
      <c r="C17" s="38" t="s">
        <v>233</v>
      </c>
      <c r="D17" s="34" t="s">
        <v>14</v>
      </c>
      <c r="E17" s="37">
        <v>1</v>
      </c>
      <c r="F17" s="34"/>
      <c r="G17" s="37">
        <f>PRODUCT(M17*G$2,$F17)</f>
      </c>
      <c r="H17" s="37">
        <f>PRODUCT(N17*H$2,$F17)</f>
      </c>
      <c r="I17" s="37">
        <f>PRODUCT(O17*I$2,$F17)</f>
      </c>
      <c r="J17" s="37"/>
      <c r="K17" s="37">
        <f>J17*$E17</f>
      </c>
      <c r="L17" s="37"/>
      <c r="M17" s="37">
        <f>P17*75%</f>
      </c>
      <c r="N17" s="37"/>
      <c r="O17" s="37"/>
      <c r="P17" s="51"/>
      <c r="Q17" s="37">
        <f>P17*$E17</f>
      </c>
      <c r="R17" s="38" t="s">
        <v>203</v>
      </c>
      <c r="S17" s="38" t="s">
        <v>15</v>
      </c>
      <c r="T17" s="38" t="s">
        <v>16</v>
      </c>
      <c r="U17" s="38" t="s">
        <v>17</v>
      </c>
      <c r="V17" s="38"/>
      <c r="W17" s="38" t="str" cm="1">
        <f t="array" ref="W17">_xlfn.LET(
    _xlpm.Item,S17,
    _xlpm.Unit,X17,
    _xlpm.Hash,_xlfn.LAMBDA(_xlpm.x,IF(LEN(_xlpm.x)=0,0,SUMPRODUCT(CODE(MID(_xlpm.x,_xlfn.SEQUENCE(LEN(_xlpm.x)),1))*_xlfn.SEQUENCE(LEN(_xlpm.x))))),
    _xlpm.Item&amp;"|"&amp;_xlpm.Hash(_xlpm.Unit)
)</f>
      </c>
      <c r="X17" s="38" t="str">
        <f t="shared" si="0"/>
      </c>
      <c r="Y17" s="37" cm="1">
        <f t="array" ref="Y17">IFERROR(VLOOKUP(W17,UniqueShot!F:AJ,COLUMN(UniqueShot!AI:AI)-COLUMN(UniqueShot!F:F)+1,FALSE),0)</f>
      </c>
      <c r="Z17" s="37">
        <f>Y17*$E17</f>
      </c>
      <c r="AA17" s="37">
        <f>IFERROR(VLOOKUP(W17,UniqueShot!F:M,5,FALSE),0)</f>
      </c>
      <c r="AB17" s="37">
        <f>AA17*$E17</f>
      </c>
      <c r="AC17" s="37"/>
      <c r="AD17" s="37"/>
      <c r="AE17" s="37"/>
      <c r="AF17" s="37"/>
      <c r="AG17" s="37"/>
      <c r="AH17" s="37"/>
      <c r="AI17" s="37">
        <f>AH17*$E17</f>
      </c>
    </row>
    <row r="18" spans="1:35" ht="12" customHeight="1" outlineLevel="3">
      <c r="A18" s="26"/>
      <c r="B18" s="131"/>
      <c r="C18" s="131" t="s">
        <v>233</v>
      </c>
      <c r="D18" s="132"/>
      <c r="E18" s="133"/>
      <c r="F18" s="132"/>
      <c r="G18" s="134"/>
      <c r="H18" s="134"/>
      <c r="I18" s="134"/>
      <c r="J18" s="134"/>
      <c r="K18" s="134"/>
      <c r="L18" s="134"/>
      <c r="M18" s="134"/>
      <c r="N18" s="134"/>
      <c r="O18" s="134"/>
      <c r="P18" s="134"/>
      <c r="Q18" s="134"/>
      <c r="R18" s="131"/>
      <c r="S18" s="131"/>
      <c r="T18" s="131"/>
      <c r="U18" s="131"/>
      <c r="V18" s="131"/>
      <c r="W18" s="131"/>
      <c r="X18" s="131" t="str">
        <f t="shared" si="0"/>
        <v/>
      </c>
      <c r="Y18" s="134"/>
      <c r="Z18" s="134"/>
      <c r="AA18" s="134"/>
      <c r="AB18" s="134"/>
      <c r="AC18" s="134"/>
      <c r="AD18" s="134"/>
      <c r="AE18" s="134"/>
      <c r="AF18" s="134"/>
      <c r="AG18" s="134"/>
      <c r="AH18" s="134"/>
      <c r="AI18" s="134"/>
    </row>
    <row r="19" spans="1:35" ht="14.4" customHeight="1" outlineLevel="1">
      <c r="A19" s="26"/>
      <c r="B19" s="44"/>
      <c r="C19" s="44" t="s">
        <v>234</v>
      </c>
      <c r="D19" s="32"/>
      <c r="E19" s="33"/>
      <c r="F19" s="32"/>
      <c r="G19" s="43"/>
      <c r="H19" s="43"/>
      <c r="I19" s="43"/>
      <c r="J19" s="43"/>
      <c r="K19" s="43">
        <f t="array" ref="K19">_xlfn.LET(
  _xlpm.跨度, 500,
  _xlpm.区,   INDEX($C:$C,ROW()+1):INDEX($C:$C,ROW()+_xlpm.跨度),
  _xlpm.cnt,  IFERROR(_xlfn.XMATCH(TRUE, _xlfn.REGEXTEST(_xlpm.区, "[《【]")) - 1, _xlpm.跨度),
  IF(_xlpm.cnt &lt; 1, 0,
     SUBTOTAL(9, INDEX(K:K,ROW()+1):INDEX(K:K,ROW()+_xlpm.cnt)))
)</f>
      </c>
      <c r="L19" s="43"/>
      <c r="M19" s="43"/>
      <c r="N19" s="43"/>
      <c r="O19" s="43"/>
      <c r="P19" s="43"/>
      <c r="Q19" s="43">
        <f t="array" ref="Q19">_xlfn.LET(
  _xlpm.跨度, 500,
  _xlpm.区,   INDEX($C:$C,ROW()+1):INDEX($C:$C,ROW()+_xlpm.跨度),
  _xlpm.cnt,  IFERROR(_xlfn.XMATCH(TRUE, _xlfn.REGEXTEST(_xlpm.区, "[《【]")) - 1, _xlpm.跨度),
  IF(_xlpm.cnt &lt; 1, 0,
     SUBTOTAL(9, INDEX(Q:Q,ROW()+1):INDEX(Q:Q,ROW()+_xlpm.cnt)))
)</f>
      </c>
      <c r="R19" s="44"/>
      <c r="S19" s="44"/>
      <c r="T19" s="44"/>
      <c r="U19" s="44"/>
      <c r="V19" s="44"/>
      <c r="W19" s="44"/>
      <c r="X19" s="44" t="str">
        <f t="shared" si="0"/>
        <v/>
      </c>
      <c r="Y19" s="43"/>
      <c r="Z19" s="43">
        <f t="array" ref="Z19">_xlfn.LET(
  _xlpm.跨度, 500,
  _xlpm.区,   INDEX($C:$C,ROW()+1):INDEX($C:$C,ROW()+_xlpm.跨度),
  _xlpm.cnt,  IFERROR(_xlfn.XMATCH(TRUE, _xlfn.REGEXTEST(_xlpm.区, "[《【]")) - 1, _xlpm.跨度),
  IF(_xlpm.cnt &lt; 1, 0,
     SUBTOTAL(9, INDEX(Z:Z,ROW()+1):INDEX(Z:Z,ROW()+_xlpm.cnt)))
)</f>
      </c>
      <c r="AA19" s="43"/>
      <c r="AB19" s="43">
        <f t="array" ref="AB19">_xlfn.LET(
  _xlpm.跨度, 500,
  _xlpm.区,   INDEX($C:$C,ROW()+1):INDEX($C:$C,ROW()+_xlpm.跨度),
  _xlpm.cnt,  IFERROR(_xlfn.XMATCH(TRUE, _xlfn.REGEXTEST(_xlpm.区, "[《【]")) - 1, _xlpm.跨度),
  IF(_xlpm.cnt &lt; 1, 0,
     SUBTOTAL(9, INDEX(AB:AB,ROW()+1):INDEX(AB:AB,ROW()+_xlpm.cnt)))
)</f>
      </c>
      <c r="AC19" s="43"/>
      <c r="AD19" s="43"/>
      <c r="AE19" s="43"/>
      <c r="AF19" s="43"/>
      <c r="AG19" s="43"/>
      <c r="AH19" s="43"/>
      <c r="AI19" s="43">
        <f t="array" ref="AI19">_xlfn.LET(
  _xlpm.跨度, 500,
  _xlpm.区,   INDEX($C:$C,ROW()+1):INDEX($C:$C,ROW()+_xlpm.跨度),
  _xlpm.cnt,  IFERROR(_xlfn.XMATCH(TRUE, _xlfn.REGEXTEST(_xlpm.区, "[《【]")) - 1, _xlpm.跨度),
  IF(_xlpm.cnt &lt; 1, 0,
     SUBTOTAL(9, INDEX(AI:AI,ROW()+1):INDEX(AI:AI,ROW()+_xlpm.cnt)))
)</f>
      </c>
    </row>
    <row r="20" spans="1:35" ht="12" customHeight="1" outlineLevel="3">
      <c r="A20" s="26"/>
      <c r="B20" s="131"/>
      <c r="C20" s="131" t="s">
        <v>196</v>
      </c>
      <c r="D20" s="132"/>
      <c r="E20" s="133"/>
      <c r="F20" s="132"/>
      <c r="G20" s="134"/>
      <c r="H20" s="134"/>
      <c r="I20" s="134"/>
      <c r="J20" s="134"/>
      <c r="K20" s="134"/>
      <c r="L20" s="134"/>
      <c r="M20" s="134"/>
      <c r="N20" s="134"/>
      <c r="O20" s="134"/>
      <c r="P20" s="134"/>
      <c r="Q20" s="134"/>
      <c r="R20" s="131"/>
      <c r="S20" s="131"/>
      <c r="T20" s="131"/>
      <c r="U20" s="131"/>
      <c r="V20" s="131"/>
      <c r="W20" s="131"/>
      <c r="X20" s="131" t="str">
        <f t="shared" si="0"/>
        <v/>
      </c>
      <c r="Y20" s="134"/>
      <c r="Z20" s="134"/>
      <c r="AA20" s="134"/>
      <c r="AB20" s="134"/>
      <c r="AC20" s="134"/>
      <c r="AD20" s="134"/>
      <c r="AE20" s="134"/>
      <c r="AF20" s="134"/>
      <c r="AG20" s="134"/>
      <c r="AH20" s="134"/>
      <c r="AI20" s="134"/>
    </row>
    <row r="21" spans="1:35" ht="12" customHeight="1" outlineLevel="3">
      <c r="A21" s="26"/>
      <c r="B21" s="131"/>
      <c r="C21" s="131" t="s">
        <v>197</v>
      </c>
      <c r="D21" s="132"/>
      <c r="E21" s="133"/>
      <c r="F21" s="132"/>
      <c r="G21" s="134"/>
      <c r="H21" s="134"/>
      <c r="I21" s="134"/>
      <c r="J21" s="134"/>
      <c r="K21" s="134"/>
      <c r="L21" s="134"/>
      <c r="M21" s="134"/>
      <c r="N21" s="134"/>
      <c r="O21" s="134"/>
      <c r="P21" s="134"/>
      <c r="Q21" s="134"/>
      <c r="R21" s="131"/>
      <c r="S21" s="131"/>
      <c r="T21" s="131"/>
      <c r="U21" s="131"/>
      <c r="V21" s="131"/>
      <c r="W21" s="131"/>
      <c r="X21" s="131" t="str">
        <f t="shared" si="0"/>
        <v/>
      </c>
      <c r="Y21" s="134"/>
      <c r="Z21" s="134"/>
      <c r="AA21" s="134"/>
      <c r="AB21" s="134"/>
      <c r="AC21" s="134"/>
      <c r="AD21" s="134"/>
      <c r="AE21" s="134"/>
      <c r="AF21" s="134"/>
      <c r="AG21" s="134"/>
      <c r="AH21" s="134"/>
      <c r="AI21" s="134"/>
    </row>
    <row r="22" spans="1:35" ht="12" customHeight="1" outlineLevel="3">
      <c r="A22" s="26"/>
      <c r="B22" s="131"/>
      <c r="C22" s="131" t="s">
        <v>198</v>
      </c>
      <c r="D22" s="132"/>
      <c r="E22" s="133"/>
      <c r="F22" s="132"/>
      <c r="G22" s="134"/>
      <c r="H22" s="134"/>
      <c r="I22" s="134"/>
      <c r="J22" s="134"/>
      <c r="K22" s="134"/>
      <c r="L22" s="134"/>
      <c r="M22" s="134"/>
      <c r="N22" s="134"/>
      <c r="O22" s="134"/>
      <c r="P22" s="134"/>
      <c r="Q22" s="134"/>
      <c r="R22" s="131"/>
      <c r="S22" s="131"/>
      <c r="T22" s="131"/>
      <c r="U22" s="131"/>
      <c r="V22" s="131"/>
      <c r="W22" s="131"/>
      <c r="X22" s="131" t="str">
        <f t="shared" si="0"/>
        <v/>
      </c>
      <c r="Y22" s="134"/>
      <c r="Z22" s="134"/>
      <c r="AA22" s="134"/>
      <c r="AB22" s="134"/>
      <c r="AC22" s="134"/>
      <c r="AD22" s="134"/>
      <c r="AE22" s="134"/>
      <c r="AF22" s="134"/>
      <c r="AG22" s="134"/>
      <c r="AH22" s="134"/>
      <c r="AI22" s="134"/>
    </row>
    <row r="23" spans="1:35" ht="12" customHeight="1" outlineLevel="3">
      <c r="A23" s="26"/>
      <c r="B23" s="131"/>
      <c r="C23" s="131" t="s">
        <v>199</v>
      </c>
      <c r="D23" s="132"/>
      <c r="E23" s="133"/>
      <c r="F23" s="132"/>
      <c r="G23" s="134"/>
      <c r="H23" s="134"/>
      <c r="I23" s="134"/>
      <c r="J23" s="134"/>
      <c r="K23" s="134"/>
      <c r="L23" s="134"/>
      <c r="M23" s="134"/>
      <c r="N23" s="134"/>
      <c r="O23" s="134"/>
      <c r="P23" s="134"/>
      <c r="Q23" s="134"/>
      <c r="R23" s="131"/>
      <c r="S23" s="131"/>
      <c r="T23" s="131"/>
      <c r="U23" s="131"/>
      <c r="V23" s="131"/>
      <c r="W23" s="131"/>
      <c r="X23" s="131" t="str">
        <f t="shared" si="0"/>
        <v/>
      </c>
      <c r="Y23" s="134"/>
      <c r="Z23" s="134"/>
      <c r="AA23" s="134"/>
      <c r="AB23" s="134"/>
      <c r="AC23" s="134"/>
      <c r="AD23" s="134"/>
      <c r="AE23" s="134"/>
      <c r="AF23" s="134"/>
      <c r="AG23" s="134"/>
      <c r="AH23" s="134"/>
      <c r="AI23" s="134"/>
    </row>
    <row r="24" spans="1:35" ht="12" customHeight="1" outlineLevel="3">
      <c r="A24" s="26"/>
      <c r="B24" s="131"/>
      <c r="C24" s="131" t="s">
        <v>200</v>
      </c>
      <c r="D24" s="132"/>
      <c r="E24" s="133"/>
      <c r="F24" s="132"/>
      <c r="G24" s="134"/>
      <c r="H24" s="134"/>
      <c r="I24" s="134"/>
      <c r="J24" s="134"/>
      <c r="K24" s="134"/>
      <c r="L24" s="134"/>
      <c r="M24" s="134"/>
      <c r="N24" s="134"/>
      <c r="O24" s="134"/>
      <c r="P24" s="134"/>
      <c r="Q24" s="134"/>
      <c r="R24" s="131"/>
      <c r="S24" s="131"/>
      <c r="T24" s="131"/>
      <c r="U24" s="131"/>
      <c r="V24" s="131"/>
      <c r="W24" s="131"/>
      <c r="X24" s="131" t="str">
        <f t="shared" si="0"/>
        <v/>
      </c>
      <c r="Y24" s="134"/>
      <c r="Z24" s="134"/>
      <c r="AA24" s="134"/>
      <c r="AB24" s="134"/>
      <c r="AC24" s="134"/>
      <c r="AD24" s="134"/>
      <c r="AE24" s="134"/>
      <c r="AF24" s="134"/>
      <c r="AG24" s="134"/>
      <c r="AH24" s="134"/>
      <c r="AI24" s="134"/>
    </row>
    <row r="25" spans="1:35" ht="12" customHeight="1" outlineLevel="3">
      <c r="A25" s="26"/>
      <c r="B25" s="131"/>
      <c r="C25" s="131" t="s">
        <v>13</v>
      </c>
      <c r="D25" s="132"/>
      <c r="E25" s="133"/>
      <c r="F25" s="132"/>
      <c r="G25" s="134"/>
      <c r="H25" s="134"/>
      <c r="I25" s="134"/>
      <c r="J25" s="134"/>
      <c r="K25" s="134"/>
      <c r="L25" s="134"/>
      <c r="M25" s="134"/>
      <c r="N25" s="134"/>
      <c r="O25" s="134"/>
      <c r="P25" s="134"/>
      <c r="Q25" s="134"/>
      <c r="R25" s="131"/>
      <c r="S25" s="131"/>
      <c r="T25" s="131"/>
      <c r="U25" s="131"/>
      <c r="V25" s="131"/>
      <c r="W25" s="131"/>
      <c r="X25" s="131" t="str">
        <f t="shared" si="0"/>
        <v/>
      </c>
      <c r="Y25" s="134"/>
      <c r="Z25" s="134"/>
      <c r="AA25" s="134"/>
      <c r="AB25" s="134"/>
      <c r="AC25" s="134"/>
      <c r="AD25" s="134"/>
      <c r="AE25" s="134"/>
      <c r="AF25" s="134"/>
      <c r="AG25" s="134"/>
      <c r="AH25" s="134"/>
      <c r="AI25" s="134"/>
    </row>
    <row r="26" spans="1:35" ht="12" customHeight="1" outlineLevel="3">
      <c r="A26" s="26"/>
      <c r="B26" s="131"/>
      <c r="C26" s="131" t="s">
        <v>13</v>
      </c>
      <c r="D26" s="132"/>
      <c r="E26" s="133"/>
      <c r="F26" s="132"/>
      <c r="G26" s="134"/>
      <c r="H26" s="134"/>
      <c r="I26" s="134"/>
      <c r="J26" s="134"/>
      <c r="K26" s="134"/>
      <c r="L26" s="134"/>
      <c r="M26" s="134"/>
      <c r="N26" s="134"/>
      <c r="O26" s="134"/>
      <c r="P26" s="134"/>
      <c r="Q26" s="134"/>
      <c r="R26" s="131"/>
      <c r="S26" s="131"/>
      <c r="T26" s="131"/>
      <c r="U26" s="131"/>
      <c r="V26" s="131"/>
      <c r="W26" s="131"/>
      <c r="X26" s="131" t="str">
        <f t="shared" si="0"/>
        <v/>
      </c>
      <c r="Y26" s="134"/>
      <c r="Z26" s="134"/>
      <c r="AA26" s="134"/>
      <c r="AB26" s="134"/>
      <c r="AC26" s="134"/>
      <c r="AD26" s="134"/>
      <c r="AE26" s="134"/>
      <c r="AF26" s="134"/>
      <c r="AG26" s="134"/>
      <c r="AH26" s="134"/>
      <c r="AI26" s="134"/>
    </row>
    <row r="27" spans="1:35" ht="14.4" customHeight="1" outlineLevel="1">
      <c r="A27" s="26"/>
      <c r="B27" s="44"/>
      <c r="C27" s="44" t="s">
        <v>234</v>
      </c>
      <c r="D27" s="32"/>
      <c r="E27" s="33"/>
      <c r="F27" s="32"/>
      <c r="G27" s="43"/>
      <c r="H27" s="43"/>
      <c r="I27" s="43"/>
      <c r="J27" s="43"/>
      <c r="K27" s="43">
        <f t="array" ref="K27">_xlfn.LET(
  _xlpm.跨度, 500,
  _xlpm.区,   INDEX($C:$C,ROW()+1):INDEX($C:$C,ROW()+_xlpm.跨度),
  _xlpm.cnt,  IFERROR(_xlfn.XMATCH(TRUE, _xlfn.REGEXTEST(_xlpm.区, "[《【]")) - 1, _xlpm.跨度),
  IF(_xlpm.cnt &lt; 1, 0,
     SUBTOTAL(9, INDEX(K:K,ROW()+1):INDEX(K:K,ROW()+_xlpm.cnt)))
)</f>
      </c>
      <c r="L27" s="43"/>
      <c r="M27" s="43"/>
      <c r="N27" s="43"/>
      <c r="O27" s="43"/>
      <c r="P27" s="43"/>
      <c r="Q27" s="43">
        <f t="array" ref="Q27">_xlfn.LET(
  _xlpm.跨度, 500,
  _xlpm.区,   INDEX($C:$C,ROW()+1):INDEX($C:$C,ROW()+_xlpm.跨度),
  _xlpm.cnt,  IFERROR(_xlfn.XMATCH(TRUE, _xlfn.REGEXTEST(_xlpm.区, "[《【]")) - 1, _xlpm.跨度),
  IF(_xlpm.cnt &lt; 1, 0,
     SUBTOTAL(9, INDEX(Q:Q,ROW()+1):INDEX(Q:Q,ROW()+_xlpm.cnt)))
)</f>
      </c>
      <c r="R27" s="44"/>
      <c r="S27" s="44"/>
      <c r="T27" s="44"/>
      <c r="U27" s="44"/>
      <c r="V27" s="44"/>
      <c r="W27" s="44"/>
      <c r="X27" s="44" t="str">
        <f t="shared" si="0"/>
        <v/>
      </c>
      <c r="Y27" s="43"/>
      <c r="Z27" s="43">
        <f t="array" ref="Z27">_xlfn.LET(
  _xlpm.跨度, 500,
  _xlpm.区,   INDEX($C:$C,ROW()+1):INDEX($C:$C,ROW()+_xlpm.跨度),
  _xlpm.cnt,  IFERROR(_xlfn.XMATCH(TRUE, _xlfn.REGEXTEST(_xlpm.区, "[《【]")) - 1, _xlpm.跨度),
  IF(_xlpm.cnt &lt; 1, 0,
     SUBTOTAL(9, INDEX(Z:Z,ROW()+1):INDEX(Z:Z,ROW()+_xlpm.cnt)))
)</f>
      </c>
      <c r="AA27" s="43"/>
      <c r="AB27" s="43">
        <f t="array" ref="AB27">_xlfn.LET(
  _xlpm.跨度, 500,
  _xlpm.区,   INDEX($C:$C,ROW()+1):INDEX($C:$C,ROW()+_xlpm.跨度),
  _xlpm.cnt,  IFERROR(_xlfn.XMATCH(TRUE, _xlfn.REGEXTEST(_xlpm.区, "[《【]")) - 1, _xlpm.跨度),
  IF(_xlpm.cnt &lt; 1, 0,
     SUBTOTAL(9, INDEX(AB:AB,ROW()+1):INDEX(AB:AB,ROW()+_xlpm.cnt)))
)</f>
      </c>
      <c r="AC27" s="43"/>
      <c r="AD27" s="43"/>
      <c r="AE27" s="43"/>
      <c r="AF27" s="43"/>
      <c r="AG27" s="43"/>
      <c r="AH27" s="43"/>
      <c r="AI27" s="43">
        <f t="array" ref="AI27">_xlfn.LET(
  _xlpm.跨度, 500,
  _xlpm.区,   INDEX($C:$C,ROW()+1):INDEX($C:$C,ROW()+_xlpm.跨度),
  _xlpm.cnt,  IFERROR(_xlfn.XMATCH(TRUE, _xlfn.REGEXTEST(_xlpm.区, "[《【]")) - 1, _xlpm.跨度),
  IF(_xlpm.cnt &lt; 1, 0,
     SUBTOTAL(9, INDEX(AI:AI,ROW()+1):INDEX(AI:AI,ROW()+_xlpm.cnt)))
)</f>
      </c>
    </row>
    <row r="28" spans="1:35" ht="12" customHeight="1" outlineLevel="3">
      <c r="A28" s="26"/>
      <c r="B28" s="131"/>
      <c r="C28" s="131" t="s">
        <v>201</v>
      </c>
      <c r="D28" s="132"/>
      <c r="E28" s="133"/>
      <c r="F28" s="132"/>
      <c r="G28" s="134"/>
      <c r="H28" s="134"/>
      <c r="I28" s="134"/>
      <c r="J28" s="134"/>
      <c r="K28" s="134"/>
      <c r="L28" s="134"/>
      <c r="M28" s="134"/>
      <c r="N28" s="134"/>
      <c r="O28" s="134"/>
      <c r="P28" s="134"/>
      <c r="Q28" s="134"/>
      <c r="R28" s="131"/>
      <c r="S28" s="131"/>
      <c r="T28" s="131"/>
      <c r="U28" s="131"/>
      <c r="V28" s="131"/>
      <c r="W28" s="131"/>
      <c r="X28" s="131" t="str">
        <f t="shared" si="0"/>
        <v/>
      </c>
      <c r="Y28" s="134"/>
      <c r="Z28" s="134"/>
      <c r="AA28" s="134"/>
      <c r="AB28" s="134"/>
      <c r="AC28" s="134"/>
      <c r="AD28" s="134"/>
      <c r="AE28" s="134"/>
      <c r="AF28" s="134"/>
      <c r="AG28" s="134"/>
      <c r="AH28" s="134"/>
      <c r="AI28" s="134"/>
    </row>
    <row r="29" spans="1:35" ht="12" customHeight="1" outlineLevel="3">
      <c r="A29" s="26"/>
      <c r="B29" s="131"/>
      <c r="C29" s="131" t="s">
        <v>202</v>
      </c>
      <c r="D29" s="132"/>
      <c r="E29" s="133"/>
      <c r="F29" s="132"/>
      <c r="G29" s="134"/>
      <c r="H29" s="134"/>
      <c r="I29" s="134"/>
      <c r="J29" s="134"/>
      <c r="K29" s="134"/>
      <c r="L29" s="134"/>
      <c r="M29" s="134"/>
      <c r="N29" s="134"/>
      <c r="O29" s="134"/>
      <c r="P29" s="134"/>
      <c r="Q29" s="134"/>
      <c r="R29" s="131"/>
      <c r="S29" s="131"/>
      <c r="T29" s="131"/>
      <c r="U29" s="131"/>
      <c r="V29" s="131"/>
      <c r="W29" s="131"/>
      <c r="X29" s="131" t="str">
        <f t="shared" si="0"/>
        <v/>
      </c>
      <c r="Y29" s="134"/>
      <c r="Z29" s="134"/>
      <c r="AA29" s="134"/>
      <c r="AB29" s="134"/>
      <c r="AC29" s="134"/>
      <c r="AD29" s="134"/>
      <c r="AE29" s="134"/>
      <c r="AF29" s="134"/>
      <c r="AG29" s="134"/>
      <c r="AH29" s="134"/>
      <c r="AI29" s="134"/>
    </row>
    <row r="30" spans="1:35" ht="12" customHeight="1" outlineLevel="2">
      <c r="A30" s="26"/>
      <c r="B30" s="46"/>
      <c r="C30" s="46" t="s">
        <v>235</v>
      </c>
      <c r="D30" s="35"/>
      <c r="E30" s="36"/>
      <c r="F30" s="35"/>
      <c r="G30" s="45"/>
      <c r="H30" s="45"/>
      <c r="I30" s="45"/>
      <c r="J30" s="45"/>
      <c r="K30" s="45"/>
      <c r="L30" s="45"/>
      <c r="M30" s="45"/>
      <c r="N30" s="45"/>
      <c r="O30" s="45"/>
      <c r="P30" s="45"/>
      <c r="Q30" s="45"/>
      <c r="R30" s="46"/>
      <c r="S30" s="46"/>
      <c r="T30" s="46"/>
      <c r="U30" s="46"/>
      <c r="V30" s="46"/>
      <c r="W30" s="46"/>
      <c r="X30" s="46" t="str">
        <f t="shared" ref="X30:X67" si="8">IF(E30&gt;0,TRIM(_xlfn.REGEXREPLACE(_xlfn.REGEXREPLACE(C30,"^\s*(?:\d+\.\d+(?:\.\d+)*|-)\s+", ""),"[。.]+$", "")), "")</f>
        <v/>
      </c>
      <c r="Y30" s="45"/>
      <c r="Z30" s="45"/>
      <c r="AA30" s="45"/>
      <c r="AB30" s="45"/>
      <c r="AC30" s="45"/>
      <c r="AD30" s="45"/>
      <c r="AE30" s="45"/>
      <c r="AF30" s="45"/>
      <c r="AG30" s="45"/>
      <c r="AH30" s="45"/>
      <c r="AI30" s="45"/>
    </row>
    <row r="31" spans="1:35" ht="13.2" customHeight="1" outlineLevel="3">
      <c r="A31" s="26" t="str" cm="1">
        <f t="array" ref="A31">_xlfn.LET(
 _xlpm.Item,C31,
 _xlpm.Unit,D31,
 _xlpm.DataRng,$C$4:C31,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_xlpm.Strip(_xlpm.Level1)&amp;"|"&amp;_xlpm.Strip(_xlpm.Level2)&amp;"|"&amp;_xlpm.Strip(_xlpm.Level3)&amp;"|"&amp;_xlpm.Hash(_xlpm.Item&amp;"@"&amp;_xlpm.Unit&amp;E31)
)</f>
      </c>
      <c r="B31" s="38" t="s">
        <v>236</v>
      </c>
      <c r="C31" s="38" t="s">
        <v>237</v>
      </c>
      <c r="D31" s="34" t="s">
        <v>20</v>
      </c>
      <c r="E31" s="37">
        <v>11526.34</v>
      </c>
      <c r="F31" s="34"/>
      <c r="G31" s="37">
        <f t="shared" ref="G31:I33" si="9">PRODUCT(M31*G$2,$F31)</f>
      </c>
      <c r="H31" s="37">
        <f t="shared" si="9"/>
      </c>
      <c r="I31" s="37">
        <f t="shared" si="9"/>
      </c>
      <c r="J31" s="37"/>
      <c r="K31" s="37">
        <f>J31*$E31</f>
      </c>
      <c r="L31" s="37"/>
      <c r="M31" s="37">
        <f>P31*75%</f>
      </c>
      <c r="N31" s="37"/>
      <c r="O31" s="37"/>
      <c r="P31" s="51"/>
      <c r="Q31" s="37">
        <f>P31*$E31</f>
      </c>
      <c r="R31" s="38" t="s">
        <v>203</v>
      </c>
      <c r="S31" s="38" t="s">
        <v>21</v>
      </c>
      <c r="T31" s="38" t="s">
        <v>22</v>
      </c>
      <c r="U31" s="38" t="s">
        <v>23</v>
      </c>
      <c r="V31" s="38" t="s">
        <v>24</v>
      </c>
      <c r="W31" s="38" t="str" cm="1">
        <f t="array" ref="W31">_xlfn.LET(
    _xlpm.Item,S31,
    _xlpm.Unit,X31,
    _xlpm.Hash,_xlfn.LAMBDA(_xlpm.x,IF(LEN(_xlpm.x)=0,0,SUMPRODUCT(CODE(MID(_xlpm.x,_xlfn.SEQUENCE(LEN(_xlpm.x)),1))*_xlfn.SEQUENCE(LEN(_xlpm.x))))),
    _xlpm.Item&amp;"|"&amp;_xlpm.Hash(_xlpm.Unit)
)</f>
      </c>
      <c r="X31" s="38" t="str">
        <f t="shared" si="8"/>
      </c>
      <c r="Y31" s="37" cm="1">
        <f t="array" ref="Y31">IFERROR(VLOOKUP(W31,UniqueShot!F:AJ,COLUMN(UniqueShot!AI:AI)-COLUMN(UniqueShot!F:F)+1,FALSE),0)</f>
      </c>
      <c r="Z31" s="37">
        <f>Y31*$E31</f>
      </c>
      <c r="AA31" s="37">
        <f>IFERROR(VLOOKUP(W31,UniqueShot!F:M,5,FALSE),0)</f>
      </c>
      <c r="AB31" s="37">
        <f>AA31*$E31</f>
      </c>
      <c r="AC31" s="37"/>
      <c r="AD31" s="37"/>
      <c r="AE31" s="37"/>
      <c r="AF31" s="37"/>
      <c r="AG31" s="37"/>
      <c r="AH31" s="37"/>
      <c r="AI31" s="37">
        <f>AH31*$E31</f>
      </c>
    </row>
    <row r="32" spans="1:35" ht="13.2" customHeight="1" outlineLevel="3">
      <c r="A32" s="26" t="str" cm="1">
        <f t="array" ref="A32">_xlfn.LET(
 _xlpm.Item,C32,
 _xlpm.Unit,D32,
 _xlpm.DataRng,$C$4:C32,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_xlpm.Strip(_xlpm.Level1)&amp;"|"&amp;_xlpm.Strip(_xlpm.Level2)&amp;"|"&amp;_xlpm.Strip(_xlpm.Level3)&amp;"|"&amp;_xlpm.Hash(_xlpm.Item&amp;"@"&amp;_xlpm.Unit&amp;E32)
)</f>
      </c>
      <c r="B32" s="38" t="s">
        <v>238</v>
      </c>
      <c r="C32" s="38" t="s">
        <v>239</v>
      </c>
      <c r="D32" s="34" t="s">
        <v>25</v>
      </c>
      <c r="E32" s="37">
        <v>4929.0150000000003</v>
      </c>
      <c r="F32" s="34"/>
      <c r="G32" s="37">
        <f t="shared" si="9"/>
      </c>
      <c r="H32" s="37">
        <f t="shared" si="9"/>
      </c>
      <c r="I32" s="37">
        <f t="shared" si="9"/>
      </c>
      <c r="J32" s="37"/>
      <c r="K32" s="37">
        <f>J32*$E32</f>
      </c>
      <c r="L32" s="37"/>
      <c r="M32" s="37">
        <f>P32*75%</f>
      </c>
      <c r="N32" s="37"/>
      <c r="O32" s="37"/>
      <c r="P32" s="51"/>
      <c r="Q32" s="37">
        <f>P32*$E32</f>
      </c>
      <c r="R32" s="38" t="s">
        <v>203</v>
      </c>
      <c r="S32" s="38" t="s">
        <v>21</v>
      </c>
      <c r="T32" s="38" t="s">
        <v>22</v>
      </c>
      <c r="U32" s="38" t="s">
        <v>26</v>
      </c>
      <c r="V32" s="38" t="s">
        <v>240</v>
      </c>
      <c r="W32" s="38" t="str" cm="1">
        <f t="array" ref="W32">_xlfn.LET(
    _xlpm.Item,S32,
    _xlpm.Unit,X32,
    _xlpm.Hash,_xlfn.LAMBDA(_xlpm.x,IF(LEN(_xlpm.x)=0,0,SUMPRODUCT(CODE(MID(_xlpm.x,_xlfn.SEQUENCE(LEN(_xlpm.x)),1))*_xlfn.SEQUENCE(LEN(_xlpm.x))))),
    _xlpm.Item&amp;"|"&amp;_xlpm.Hash(_xlpm.Unit)
)</f>
      </c>
      <c r="X32" s="38" t="str">
        <f t="shared" si="8"/>
      </c>
      <c r="Y32" s="37" cm="1">
        <f t="array" ref="Y32">IFERROR(VLOOKUP(W32,UniqueShot!F:AJ,COLUMN(UniqueShot!AI:AI)-COLUMN(UniqueShot!F:F)+1,FALSE),0)</f>
      </c>
      <c r="Z32" s="37">
        <f>Y32*$E32</f>
      </c>
      <c r="AA32" s="37">
        <f>IFERROR(VLOOKUP(W32,UniqueShot!F:M,5,FALSE),0)</f>
      </c>
      <c r="AB32" s="37">
        <f>AA32*$E32</f>
      </c>
      <c r="AC32" s="37"/>
      <c r="AD32" s="37"/>
      <c r="AE32" s="37"/>
      <c r="AF32" s="37"/>
      <c r="AG32" s="37"/>
      <c r="AH32" s="37"/>
      <c r="AI32" s="37">
        <f>AH32*$E32</f>
      </c>
    </row>
    <row r="33" spans="1:35" ht="13.2" customHeight="1" outlineLevel="3">
      <c r="A33" s="26" t="str" cm="1">
        <f t="array" ref="A33">_xlfn.LET(
 _xlpm.Item,C33,
 _xlpm.Unit,D33,
 _xlpm.DataRng,$C$4:C33,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_xlpm.Strip(_xlpm.Level1)&amp;"|"&amp;_xlpm.Strip(_xlpm.Level2)&amp;"|"&amp;_xlpm.Strip(_xlpm.Level3)&amp;"|"&amp;_xlpm.Hash(_xlpm.Item&amp;"@"&amp;_xlpm.Unit&amp;E33)
)</f>
      </c>
      <c r="B33" s="38" t="s">
        <v>241</v>
      </c>
      <c r="C33" s="38" t="s">
        <v>99</v>
      </c>
      <c r="D33" s="34" t="s">
        <v>25</v>
      </c>
      <c r="E33" s="37">
        <v>23324.7124</v>
      </c>
      <c r="F33" s="34"/>
      <c r="G33" s="37">
        <f t="shared" si="9"/>
      </c>
      <c r="H33" s="37">
        <f t="shared" si="9"/>
      </c>
      <c r="I33" s="37">
        <f t="shared" si="9"/>
      </c>
      <c r="J33" s="37"/>
      <c r="K33" s="37">
        <f>J33*$E33</f>
      </c>
      <c r="L33" s="37"/>
      <c r="M33" s="37">
        <f>P33*75%</f>
      </c>
      <c r="N33" s="37"/>
      <c r="O33" s="37"/>
      <c r="P33" s="51"/>
      <c r="Q33" s="37">
        <f>P33*$E33</f>
      </c>
      <c r="R33" s="38" t="s">
        <v>203</v>
      </c>
      <c r="S33" s="38" t="s">
        <v>21</v>
      </c>
      <c r="T33" s="38" t="s">
        <v>22</v>
      </c>
      <c r="U33" s="38" t="s">
        <v>26</v>
      </c>
      <c r="V33" s="38" t="s">
        <v>242</v>
      </c>
      <c r="W33" s="38" t="str" cm="1">
        <f t="array" ref="W33">_xlfn.LET(
    _xlpm.Item,S33,
    _xlpm.Unit,X33,
    _xlpm.Hash,_xlfn.LAMBDA(_xlpm.x,IF(LEN(_xlpm.x)=0,0,SUMPRODUCT(CODE(MID(_xlpm.x,_xlfn.SEQUENCE(LEN(_xlpm.x)),1))*_xlfn.SEQUENCE(LEN(_xlpm.x))))),
    _xlpm.Item&amp;"|"&amp;_xlpm.Hash(_xlpm.Unit)
)</f>
      </c>
      <c r="X33" s="38" t="str">
        <f t="shared" si="8"/>
      </c>
      <c r="Y33" s="37" cm="1">
        <f t="array" ref="Y33">IFERROR(VLOOKUP(W33,UniqueShot!F:AJ,COLUMN(UniqueShot!AI:AI)-COLUMN(UniqueShot!F:F)+1,FALSE),0)</f>
      </c>
      <c r="Z33" s="37">
        <f>Y33*$E33</f>
      </c>
      <c r="AA33" s="37">
        <f>IFERROR(VLOOKUP(W33,UniqueShot!F:M,5,FALSE),0)</f>
      </c>
      <c r="AB33" s="37">
        <f>AA33*$E33</f>
      </c>
      <c r="AC33" s="37"/>
      <c r="AD33" s="37"/>
      <c r="AE33" s="37"/>
      <c r="AF33" s="37"/>
      <c r="AG33" s="37"/>
      <c r="AH33" s="37"/>
      <c r="AI33" s="37">
        <f>AH33*$E33</f>
      </c>
    </row>
    <row r="34" spans="1:35" ht="12" customHeight="1" outlineLevel="3">
      <c r="A34" s="26"/>
      <c r="B34" s="131"/>
      <c r="C34" s="131" t="s">
        <v>99</v>
      </c>
      <c r="D34" s="132"/>
      <c r="E34" s="133"/>
      <c r="F34" s="132"/>
      <c r="G34" s="134"/>
      <c r="H34" s="134"/>
      <c r="I34" s="134"/>
      <c r="J34" s="134"/>
      <c r="K34" s="134"/>
      <c r="L34" s="134"/>
      <c r="M34" s="134"/>
      <c r="N34" s="134"/>
      <c r="O34" s="134"/>
      <c r="P34" s="134"/>
      <c r="Q34" s="134"/>
      <c r="R34" s="131"/>
      <c r="S34" s="131"/>
      <c r="T34" s="131"/>
      <c r="U34" s="131"/>
      <c r="V34" s="131"/>
      <c r="W34" s="131"/>
      <c r="X34" s="131" t="str">
        <f t="shared" si="8"/>
        <v/>
      </c>
      <c r="Y34" s="134"/>
      <c r="Z34" s="134"/>
      <c r="AA34" s="134"/>
      <c r="AB34" s="134"/>
      <c r="AC34" s="134"/>
      <c r="AD34" s="134"/>
      <c r="AE34" s="134"/>
      <c r="AF34" s="134"/>
      <c r="AG34" s="134"/>
      <c r="AH34" s="134"/>
      <c r="AI34" s="134"/>
    </row>
    <row r="35" spans="1:35" ht="14.4" customHeight="1" outlineLevel="1">
      <c r="A35" s="26"/>
      <c r="B35" s="44"/>
      <c r="C35" s="44" t="s">
        <v>234</v>
      </c>
      <c r="D35" s="32"/>
      <c r="E35" s="33"/>
      <c r="F35" s="32"/>
      <c r="G35" s="43"/>
      <c r="H35" s="43"/>
      <c r="I35" s="43"/>
      <c r="J35" s="43"/>
      <c r="K35" s="43">
        <f t="array" ref="K35">_xlfn.LET(
  _xlpm.跨度, 500,
  _xlpm.区,   INDEX($C:$C,ROW()+1):INDEX($C:$C,ROW()+_xlpm.跨度),
  _xlpm.cnt,  IFERROR(_xlfn.XMATCH(TRUE, _xlfn.REGEXTEST(_xlpm.区, "[《【]")) - 1, _xlpm.跨度),
  IF(_xlpm.cnt &lt; 1, 0,
     SUBTOTAL(9, INDEX(K:K,ROW()+1):INDEX(K:K,ROW()+_xlpm.cnt)))
)</f>
      </c>
      <c r="L35" s="43"/>
      <c r="M35" s="43"/>
      <c r="N35" s="43"/>
      <c r="O35" s="43"/>
      <c r="P35" s="43"/>
      <c r="Q35" s="43">
        <f t="array" ref="Q35">_xlfn.LET(
  _xlpm.跨度, 500,
  _xlpm.区,   INDEX($C:$C,ROW()+1):INDEX($C:$C,ROW()+_xlpm.跨度),
  _xlpm.cnt,  IFERROR(_xlfn.XMATCH(TRUE, _xlfn.REGEXTEST(_xlpm.区, "[《【]")) - 1, _xlpm.跨度),
  IF(_xlpm.cnt &lt; 1, 0,
     SUBTOTAL(9, INDEX(Q:Q,ROW()+1):INDEX(Q:Q,ROW()+_xlpm.cnt)))
)</f>
      </c>
      <c r="R35" s="44"/>
      <c r="S35" s="44"/>
      <c r="T35" s="44"/>
      <c r="U35" s="44"/>
      <c r="V35" s="44"/>
      <c r="W35" s="44"/>
      <c r="X35" s="44" t="str">
        <f t="shared" si="8"/>
        <v/>
      </c>
      <c r="Y35" s="43"/>
      <c r="Z35" s="43">
        <f t="array" ref="Z35">_xlfn.LET(
  _xlpm.跨度, 500,
  _xlpm.区,   INDEX($C:$C,ROW()+1):INDEX($C:$C,ROW()+_xlpm.跨度),
  _xlpm.cnt,  IFERROR(_xlfn.XMATCH(TRUE, _xlfn.REGEXTEST(_xlpm.区, "[《【]")) - 1, _xlpm.跨度),
  IF(_xlpm.cnt &lt; 1, 0,
     SUBTOTAL(9, INDEX(Z:Z,ROW()+1):INDEX(Z:Z,ROW()+_xlpm.cnt)))
)</f>
      </c>
      <c r="AA35" s="43"/>
      <c r="AB35" s="43">
        <f t="array" ref="AB35">_xlfn.LET(
  _xlpm.跨度, 500,
  _xlpm.区,   INDEX($C:$C,ROW()+1):INDEX($C:$C,ROW()+_xlpm.跨度),
  _xlpm.cnt,  IFERROR(_xlfn.XMATCH(TRUE, _xlfn.REGEXTEST(_xlpm.区, "[《【]")) - 1, _xlpm.跨度),
  IF(_xlpm.cnt &lt; 1, 0,
     SUBTOTAL(9, INDEX(AB:AB,ROW()+1):INDEX(AB:AB,ROW()+_xlpm.cnt)))
)</f>
      </c>
      <c r="AC35" s="43"/>
      <c r="AD35" s="43"/>
      <c r="AE35" s="43"/>
      <c r="AF35" s="43"/>
      <c r="AG35" s="43"/>
      <c r="AH35" s="43"/>
      <c r="AI35" s="43">
        <f t="array" ref="AI35">_xlfn.LET(
  _xlpm.跨度, 500,
  _xlpm.区,   INDEX($C:$C,ROW()+1):INDEX($C:$C,ROW()+_xlpm.跨度),
  _xlpm.cnt,  IFERROR(_xlfn.XMATCH(TRUE, _xlfn.REGEXTEST(_xlpm.区, "[《【]")) - 1, _xlpm.跨度),
  IF(_xlpm.cnt &lt; 1, 0,
     SUBTOTAL(9, INDEX(AI:AI,ROW()+1):INDEX(AI:AI,ROW()+_xlpm.cnt)))
)</f>
      </c>
    </row>
    <row r="36" spans="1:35" ht="12" customHeight="1" outlineLevel="2">
      <c r="A36" s="26"/>
      <c r="B36" s="46"/>
      <c r="C36" s="46" t="s">
        <v>243</v>
      </c>
      <c r="D36" s="35"/>
      <c r="E36" s="36"/>
      <c r="F36" s="35"/>
      <c r="G36" s="45"/>
      <c r="H36" s="45"/>
      <c r="I36" s="45"/>
      <c r="J36" s="45"/>
      <c r="K36" s="45"/>
      <c r="L36" s="45"/>
      <c r="M36" s="45"/>
      <c r="N36" s="45"/>
      <c r="O36" s="45"/>
      <c r="P36" s="45"/>
      <c r="Q36" s="45"/>
      <c r="R36" s="46"/>
      <c r="S36" s="46"/>
      <c r="T36" s="46"/>
      <c r="U36" s="46"/>
      <c r="V36" s="46"/>
      <c r="W36" s="46"/>
      <c r="X36" s="46" t="str">
        <f t="shared" si="8"/>
        <v/>
      </c>
      <c r="Y36" s="45"/>
      <c r="Z36" s="45"/>
      <c r="AA36" s="45"/>
      <c r="AB36" s="45"/>
      <c r="AC36" s="45"/>
      <c r="AD36" s="45"/>
      <c r="AE36" s="45"/>
      <c r="AF36" s="45"/>
      <c r="AG36" s="45"/>
      <c r="AH36" s="45"/>
      <c r="AI36" s="45"/>
    </row>
    <row r="37" spans="1:35" ht="13.2" customHeight="1" outlineLevel="3">
      <c r="A37" s="26" t="str" cm="1">
        <f t="array" ref="A37">_xlfn.LET(
 _xlpm.Item,C37,
 _xlpm.Unit,D37,
 _xlpm.DataRng,$C$4:C37,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_xlpm.Strip(_xlpm.Level1)&amp;"|"&amp;_xlpm.Strip(_xlpm.Level2)&amp;"|"&amp;_xlpm.Strip(_xlpm.Level3)&amp;"|"&amp;_xlpm.Hash(_xlpm.Item&amp;"@"&amp;_xlpm.Unit&amp;E37)
)</f>
      </c>
      <c r="B37" s="38" t="s">
        <v>244</v>
      </c>
      <c r="C37" s="38" t="s">
        <v>245</v>
      </c>
      <c r="D37" s="34" t="s">
        <v>19</v>
      </c>
      <c r="E37" s="37">
        <v>4929.0591000000004</v>
      </c>
      <c r="F37" s="34"/>
      <c r="G37" s="37">
        <f t="shared" ref="G37:I38" si="10">PRODUCT(M37*G$2,$F37)</f>
      </c>
      <c r="H37" s="37">
        <f t="shared" si="10"/>
      </c>
      <c r="I37" s="37">
        <f t="shared" si="10"/>
      </c>
      <c r="J37" s="37"/>
      <c r="K37" s="37">
        <f>J37*$E37</f>
      </c>
      <c r="L37" s="37"/>
      <c r="M37" s="37">
        <f>P37*75%</f>
      </c>
      <c r="N37" s="37"/>
      <c r="O37" s="37"/>
      <c r="P37" s="51"/>
      <c r="Q37" s="37">
        <f>P37*$E37</f>
      </c>
      <c r="R37" s="38" t="s">
        <v>203</v>
      </c>
      <c r="S37" s="38" t="s">
        <v>21</v>
      </c>
      <c r="T37" s="38" t="s">
        <v>22</v>
      </c>
      <c r="U37" s="38" t="s">
        <v>26</v>
      </c>
      <c r="V37" s="38" t="s">
        <v>34</v>
      </c>
      <c r="W37" s="38" t="str" cm="1">
        <f t="array" ref="W37">_xlfn.LET(
    _xlpm.Item,S37,
    _xlpm.Unit,X37,
    _xlpm.Hash,_xlfn.LAMBDA(_xlpm.x,IF(LEN(_xlpm.x)=0,0,SUMPRODUCT(CODE(MID(_xlpm.x,_xlfn.SEQUENCE(LEN(_xlpm.x)),1))*_xlfn.SEQUENCE(LEN(_xlpm.x))))),
    _xlpm.Item&amp;"|"&amp;_xlpm.Hash(_xlpm.Unit)
)</f>
      </c>
      <c r="X37" s="38" t="str">
        <f t="shared" si="8"/>
      </c>
      <c r="Y37" s="37" cm="1">
        <f t="array" ref="Y37">IFERROR(VLOOKUP(W37,UniqueShot!F:AJ,COLUMN(UniqueShot!AI:AI)-COLUMN(UniqueShot!F:F)+1,FALSE),0)</f>
      </c>
      <c r="Z37" s="37">
        <f>Y37*$E37</f>
      </c>
      <c r="AA37" s="37">
        <f>IFERROR(VLOOKUP(W37,UniqueShot!F:M,5,FALSE),0)</f>
      </c>
      <c r="AB37" s="37">
        <f>AA37*$E37</f>
      </c>
      <c r="AC37" s="37"/>
      <c r="AD37" s="37"/>
      <c r="AE37" s="37"/>
      <c r="AF37" s="37"/>
      <c r="AG37" s="37"/>
      <c r="AH37" s="37"/>
      <c r="AI37" s="37">
        <f>AH37*$E37</f>
      </c>
    </row>
    <row r="38" spans="1:35" ht="13.2" customHeight="1" outlineLevel="3">
      <c r="A38" s="26" t="str" cm="1">
        <f t="array" ref="A38">_xlfn.LET(
 _xlpm.Item,C38,
 _xlpm.Unit,D38,
 _xlpm.DataRng,$C$4:C38,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_xlpm.Strip(_xlpm.Level1)&amp;"|"&amp;_xlpm.Strip(_xlpm.Level2)&amp;"|"&amp;_xlpm.Strip(_xlpm.Level3)&amp;"|"&amp;_xlpm.Hash(_xlpm.Item&amp;"@"&amp;_xlpm.Unit&amp;E38)
)</f>
      </c>
      <c r="B38" s="38" t="s">
        <v>246</v>
      </c>
      <c r="C38" s="38" t="s">
        <v>247</v>
      </c>
      <c r="D38" s="34" t="s">
        <v>19</v>
      </c>
      <c r="E38" s="37">
        <v>18395.653300000002</v>
      </c>
      <c r="F38" s="34"/>
      <c r="G38" s="37">
        <f t="shared" si="10"/>
      </c>
      <c r="H38" s="37">
        <f t="shared" si="10"/>
      </c>
      <c r="I38" s="37">
        <f t="shared" si="10"/>
      </c>
      <c r="J38" s="37"/>
      <c r="K38" s="37">
        <f>J38*$E38</f>
      </c>
      <c r="L38" s="37"/>
      <c r="M38" s="37">
        <f>P38*75%</f>
      </c>
      <c r="N38" s="37"/>
      <c r="O38" s="37"/>
      <c r="P38" s="51"/>
      <c r="Q38" s="37">
        <f>P38*$E38</f>
      </c>
      <c r="R38" s="38" t="s">
        <v>203</v>
      </c>
      <c r="S38" s="38" t="s">
        <v>21</v>
      </c>
      <c r="T38" s="38" t="s">
        <v>22</v>
      </c>
      <c r="U38" s="38" t="s">
        <v>26</v>
      </c>
      <c r="V38" s="38"/>
      <c r="W38" s="38" t="str" cm="1">
        <f t="array" ref="W38">_xlfn.LET(
    _xlpm.Item,S38,
    _xlpm.Unit,X38,
    _xlpm.Hash,_xlfn.LAMBDA(_xlpm.x,IF(LEN(_xlpm.x)=0,0,SUMPRODUCT(CODE(MID(_xlpm.x,_xlfn.SEQUENCE(LEN(_xlpm.x)),1))*_xlfn.SEQUENCE(LEN(_xlpm.x))))),
    _xlpm.Item&amp;"|"&amp;_xlpm.Hash(_xlpm.Unit)
)</f>
      </c>
      <c r="X38" s="38" t="str">
        <f t="shared" si="8"/>
      </c>
      <c r="Y38" s="37" cm="1">
        <f t="array" ref="Y38">IFERROR(VLOOKUP(W38,UniqueShot!F:AJ,COLUMN(UniqueShot!AI:AI)-COLUMN(UniqueShot!F:F)+1,FALSE),0)</f>
      </c>
      <c r="Z38" s="37">
        <f>Y38*$E38</f>
      </c>
      <c r="AA38" s="37">
        <f>IFERROR(VLOOKUP(W38,UniqueShot!F:M,5,FALSE),0)</f>
      </c>
      <c r="AB38" s="37">
        <f>AA38*$E38</f>
      </c>
      <c r="AC38" s="37"/>
      <c r="AD38" s="37"/>
      <c r="AE38" s="37"/>
      <c r="AF38" s="37"/>
      <c r="AG38" s="37"/>
      <c r="AH38" s="37"/>
      <c r="AI38" s="37">
        <f>AH38*$E38</f>
      </c>
    </row>
    <row r="39" spans="1:35" ht="12" customHeight="1" outlineLevel="2">
      <c r="A39" s="26"/>
      <c r="B39" s="46"/>
      <c r="C39" s="46" t="s">
        <v>248</v>
      </c>
      <c r="D39" s="35"/>
      <c r="E39" s="36"/>
      <c r="F39" s="35"/>
      <c r="G39" s="45"/>
      <c r="H39" s="45"/>
      <c r="I39" s="45"/>
      <c r="J39" s="45"/>
      <c r="K39" s="45"/>
      <c r="L39" s="45"/>
      <c r="M39" s="45"/>
      <c r="N39" s="45"/>
      <c r="O39" s="45"/>
      <c r="P39" s="45"/>
      <c r="Q39" s="45"/>
      <c r="R39" s="46"/>
      <c r="S39" s="46"/>
      <c r="T39" s="46"/>
      <c r="U39" s="46"/>
      <c r="V39" s="46"/>
      <c r="W39" s="46"/>
      <c r="X39" s="46" t="str">
        <f t="shared" si="8"/>
        <v/>
      </c>
      <c r="Y39" s="45"/>
      <c r="Z39" s="45"/>
      <c r="AA39" s="45"/>
      <c r="AB39" s="45"/>
      <c r="AC39" s="45"/>
      <c r="AD39" s="45"/>
      <c r="AE39" s="45"/>
      <c r="AF39" s="45"/>
      <c r="AG39" s="45"/>
      <c r="AH39" s="45"/>
      <c r="AI39" s="45"/>
    </row>
    <row r="40" spans="1:35" ht="13.2" customHeight="1" outlineLevel="3">
      <c r="A40" s="26" t="str" cm="1">
        <f t="array" ref="A40">_xlfn.LET(
 _xlpm.Item,C40,
 _xlpm.Unit,D40,
 _xlpm.DataRng,$C$4:C40,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_xlpm.Strip(_xlpm.Level1)&amp;"|"&amp;_xlpm.Strip(_xlpm.Level2)&amp;"|"&amp;_xlpm.Strip(_xlpm.Level3)&amp;"|"&amp;_xlpm.Hash(_xlpm.Item&amp;"@"&amp;_xlpm.Unit&amp;E40)
)</f>
      </c>
      <c r="B40" s="38" t="s">
        <v>249</v>
      </c>
      <c r="C40" s="38" t="s">
        <v>250</v>
      </c>
      <c r="D40" s="34" t="s">
        <v>14</v>
      </c>
      <c r="E40" s="37">
        <v>1</v>
      </c>
      <c r="F40" s="34"/>
      <c r="G40" s="37">
        <f>PRODUCT(M40*G$2,$F40)</f>
      </c>
      <c r="H40" s="37">
        <f>PRODUCT(N40*H$2,$F40)</f>
      </c>
      <c r="I40" s="37">
        <f>PRODUCT(O40*I$2,$F40)</f>
      </c>
      <c r="J40" s="37"/>
      <c r="K40" s="37">
        <f>J40*$E40</f>
      </c>
      <c r="L40" s="37"/>
      <c r="M40" s="37">
        <f>P40*75%</f>
      </c>
      <c r="N40" s="37"/>
      <c r="O40" s="37"/>
      <c r="P40" s="51"/>
      <c r="Q40" s="37">
        <f>P40*$E40</f>
      </c>
      <c r="R40" s="38" t="s">
        <v>203</v>
      </c>
      <c r="S40" s="38" t="s">
        <v>21</v>
      </c>
      <c r="T40" s="38" t="s">
        <v>22</v>
      </c>
      <c r="U40" s="38" t="s">
        <v>27</v>
      </c>
      <c r="V40" s="38"/>
      <c r="W40" s="38" t="str" cm="1">
        <f t="array" ref="W40">_xlfn.LET(
    _xlpm.Item,S40,
    _xlpm.Unit,X40,
    _xlpm.Hash,_xlfn.LAMBDA(_xlpm.x,IF(LEN(_xlpm.x)=0,0,SUMPRODUCT(CODE(MID(_xlpm.x,_xlfn.SEQUENCE(LEN(_xlpm.x)),1))*_xlfn.SEQUENCE(LEN(_xlpm.x))))),
    _xlpm.Item&amp;"|"&amp;_xlpm.Hash(_xlpm.Unit)
)</f>
      </c>
      <c r="X40" s="38" t="str">
        <f t="shared" si="8"/>
      </c>
      <c r="Y40" s="37" cm="1">
        <f t="array" ref="Y40">IFERROR(VLOOKUP(W40,UniqueShot!F:AJ,COLUMN(UniqueShot!AI:AI)-COLUMN(UniqueShot!F:F)+1,FALSE),0)</f>
      </c>
      <c r="Z40" s="37">
        <f>Y40*$E40</f>
      </c>
      <c r="AA40" s="37">
        <f>IFERROR(VLOOKUP(W40,UniqueShot!F:M,5,FALSE),0)</f>
      </c>
      <c r="AB40" s="37">
        <f>AA40*$E40</f>
      </c>
      <c r="AC40" s="37"/>
      <c r="AD40" s="37"/>
      <c r="AE40" s="37"/>
      <c r="AF40" s="37"/>
      <c r="AG40" s="37"/>
      <c r="AH40" s="37"/>
      <c r="AI40" s="37">
        <f>AH40*$E40</f>
      </c>
    </row>
    <row r="41" spans="1:35" ht="12" customHeight="1" outlineLevel="2">
      <c r="A41" s="26"/>
      <c r="B41" s="46"/>
      <c r="C41" s="46" t="s">
        <v>231</v>
      </c>
      <c r="D41" s="35"/>
      <c r="E41" s="36"/>
      <c r="F41" s="35"/>
      <c r="G41" s="45"/>
      <c r="H41" s="45"/>
      <c r="I41" s="45"/>
      <c r="J41" s="45"/>
      <c r="K41" s="45"/>
      <c r="L41" s="45"/>
      <c r="M41" s="45"/>
      <c r="N41" s="45"/>
      <c r="O41" s="45"/>
      <c r="P41" s="45"/>
      <c r="Q41" s="45"/>
      <c r="R41" s="46"/>
      <c r="S41" s="46"/>
      <c r="T41" s="46"/>
      <c r="U41" s="46"/>
      <c r="V41" s="46"/>
      <c r="W41" s="46"/>
      <c r="X41" s="46" t="str">
        <f t="shared" si="8"/>
        <v/>
      </c>
      <c r="Y41" s="45"/>
      <c r="Z41" s="45"/>
      <c r="AA41" s="45"/>
      <c r="AB41" s="45"/>
      <c r="AC41" s="45"/>
      <c r="AD41" s="45"/>
      <c r="AE41" s="45"/>
      <c r="AF41" s="45"/>
      <c r="AG41" s="45"/>
      <c r="AH41" s="45"/>
      <c r="AI41" s="45"/>
    </row>
    <row r="42" spans="1:35" ht="13.2" customHeight="1" outlineLevel="3">
      <c r="A42" s="26" t="str" cm="1">
        <f t="array" ref="A42">_xlfn.LET(
 _xlpm.Item,C42,
 _xlpm.Unit,D42,
 _xlpm.DataRng,$C$4:C42,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_xlpm.Strip(_xlpm.Level1)&amp;"|"&amp;_xlpm.Strip(_xlpm.Level2)&amp;"|"&amp;_xlpm.Strip(_xlpm.Level3)&amp;"|"&amp;_xlpm.Hash(_xlpm.Item&amp;"@"&amp;_xlpm.Unit&amp;E42)
)</f>
      </c>
      <c r="B42" s="38" t="s">
        <v>251</v>
      </c>
      <c r="C42" s="38" t="s">
        <v>252</v>
      </c>
      <c r="D42" s="34" t="s">
        <v>14</v>
      </c>
      <c r="E42" s="37">
        <v>1</v>
      </c>
      <c r="F42" s="34"/>
      <c r="G42" s="37">
        <f>PRODUCT(M42*G$2,$F42)</f>
      </c>
      <c r="H42" s="37">
        <f>PRODUCT(N42*H$2,$F42)</f>
      </c>
      <c r="I42" s="37">
        <f>PRODUCT(O42*I$2,$F42)</f>
      </c>
      <c r="J42" s="37"/>
      <c r="K42" s="37">
        <f>J42*$E42</f>
      </c>
      <c r="L42" s="37"/>
      <c r="M42" s="37">
        <f>P42*75%</f>
      </c>
      <c r="N42" s="37"/>
      <c r="O42" s="37"/>
      <c r="P42" s="51"/>
      <c r="Q42" s="37">
        <f>P42*$E42</f>
      </c>
      <c r="R42" s="38" t="s">
        <v>203</v>
      </c>
      <c r="S42" s="38" t="s">
        <v>21</v>
      </c>
      <c r="T42" s="38" t="s">
        <v>22</v>
      </c>
      <c r="U42" s="38" t="s">
        <v>26</v>
      </c>
      <c r="V42" s="38"/>
      <c r="W42" s="38" t="str" cm="1">
        <f t="array" ref="W42">_xlfn.LET(
    _xlpm.Item,S42,
    _xlpm.Unit,X42,
    _xlpm.Hash,_xlfn.LAMBDA(_xlpm.x,IF(LEN(_xlpm.x)=0,0,SUMPRODUCT(CODE(MID(_xlpm.x,_xlfn.SEQUENCE(LEN(_xlpm.x)),1))*_xlfn.SEQUENCE(LEN(_xlpm.x))))),
    _xlpm.Item&amp;"|"&amp;_xlpm.Hash(_xlpm.Unit)
)</f>
      </c>
      <c r="X42" s="38" t="str">
        <f t="shared" si="8"/>
      </c>
      <c r="Y42" s="37" cm="1">
        <f t="array" ref="Y42">IFERROR(VLOOKUP(W42,UniqueShot!F:AJ,COLUMN(UniqueShot!AI:AI)-COLUMN(UniqueShot!F:F)+1,FALSE),0)</f>
      </c>
      <c r="Z42" s="37">
        <f>Y42*$E42</f>
      </c>
      <c r="AA42" s="37">
        <f>IFERROR(VLOOKUP(W42,UniqueShot!F:M,5,FALSE),0)</f>
      </c>
      <c r="AB42" s="37">
        <f>AA42*$E42</f>
      </c>
      <c r="AC42" s="37"/>
      <c r="AD42" s="37"/>
      <c r="AE42" s="37"/>
      <c r="AF42" s="37"/>
      <c r="AG42" s="37"/>
      <c r="AH42" s="37"/>
      <c r="AI42" s="37">
        <f>AH42*$E42</f>
      </c>
    </row>
    <row r="43" spans="1:35" ht="12" customHeight="1" outlineLevel="3">
      <c r="A43" s="26"/>
      <c r="B43" s="131"/>
      <c r="C43" s="131" t="s">
        <v>252</v>
      </c>
      <c r="D43" s="132"/>
      <c r="E43" s="133"/>
      <c r="F43" s="132"/>
      <c r="G43" s="134"/>
      <c r="H43" s="134"/>
      <c r="I43" s="134"/>
      <c r="J43" s="134"/>
      <c r="K43" s="134"/>
      <c r="L43" s="134"/>
      <c r="M43" s="134"/>
      <c r="N43" s="134"/>
      <c r="O43" s="134"/>
      <c r="P43" s="134"/>
      <c r="Q43" s="134"/>
      <c r="R43" s="131"/>
      <c r="S43" s="131"/>
      <c r="T43" s="131"/>
      <c r="U43" s="131"/>
      <c r="V43" s="131"/>
      <c r="W43" s="131"/>
      <c r="X43" s="131" t="str">
        <f t="shared" si="8"/>
        <v/>
      </c>
      <c r="Y43" s="134"/>
      <c r="Z43" s="134"/>
      <c r="AA43" s="134"/>
      <c r="AB43" s="134"/>
      <c r="AC43" s="134"/>
      <c r="AD43" s="134"/>
      <c r="AE43" s="134"/>
      <c r="AF43" s="134"/>
      <c r="AG43" s="134"/>
      <c r="AH43" s="134"/>
      <c r="AI43" s="134"/>
    </row>
    <row r="44" spans="1:35" ht="14.4" customHeight="1" outlineLevel="1">
      <c r="A44" s="26"/>
      <c r="B44" s="44"/>
      <c r="C44" s="44" t="s">
        <v>253</v>
      </c>
      <c r="D44" s="32"/>
      <c r="E44" s="33"/>
      <c r="F44" s="32"/>
      <c r="G44" s="43"/>
      <c r="H44" s="43"/>
      <c r="I44" s="43"/>
      <c r="J44" s="43"/>
      <c r="K44" s="43">
        <f t="array" ref="K44">_xlfn.LET(
  _xlpm.跨度, 500,
  _xlpm.区,   INDEX($C:$C,ROW()+1):INDEX($C:$C,ROW()+_xlpm.跨度),
  _xlpm.cnt,  IFERROR(_xlfn.XMATCH(TRUE, _xlfn.REGEXTEST(_xlpm.区, "[《【]")) - 1, _xlpm.跨度),
  IF(_xlpm.cnt &lt; 1, 0,
     SUBTOTAL(9, INDEX(K:K,ROW()+1):INDEX(K:K,ROW()+_xlpm.cnt)))
)</f>
      </c>
      <c r="L44" s="43"/>
      <c r="M44" s="43"/>
      <c r="N44" s="43"/>
      <c r="O44" s="43"/>
      <c r="P44" s="43"/>
      <c r="Q44" s="43">
        <f t="array" ref="Q44">_xlfn.LET(
  _xlpm.跨度, 500,
  _xlpm.区,   INDEX($C:$C,ROW()+1):INDEX($C:$C,ROW()+_xlpm.跨度),
  _xlpm.cnt,  IFERROR(_xlfn.XMATCH(TRUE, _xlfn.REGEXTEST(_xlpm.区, "[《【]")) - 1, _xlpm.跨度),
  IF(_xlpm.cnt &lt; 1, 0,
     SUBTOTAL(9, INDEX(Q:Q,ROW()+1):INDEX(Q:Q,ROW()+_xlpm.cnt)))
)</f>
      </c>
      <c r="R44" s="44"/>
      <c r="S44" s="44"/>
      <c r="T44" s="44"/>
      <c r="U44" s="44"/>
      <c r="V44" s="44"/>
      <c r="W44" s="44"/>
      <c r="X44" s="44" t="str">
        <f t="shared" si="8"/>
        <v/>
      </c>
      <c r="Y44" s="43"/>
      <c r="Z44" s="43">
        <f t="array" ref="Z44">_xlfn.LET(
  _xlpm.跨度, 500,
  _xlpm.区,   INDEX($C:$C,ROW()+1):INDEX($C:$C,ROW()+_xlpm.跨度),
  _xlpm.cnt,  IFERROR(_xlfn.XMATCH(TRUE, _xlfn.REGEXTEST(_xlpm.区, "[《【]")) - 1, _xlpm.跨度),
  IF(_xlpm.cnt &lt; 1, 0,
     SUBTOTAL(9, INDEX(Z:Z,ROW()+1):INDEX(Z:Z,ROW()+_xlpm.cnt)))
)</f>
      </c>
      <c r="AA44" s="43"/>
      <c r="AB44" s="43">
        <f t="array" ref="AB44">_xlfn.LET(
  _xlpm.跨度, 500,
  _xlpm.区,   INDEX($C:$C,ROW()+1):INDEX($C:$C,ROW()+_xlpm.跨度),
  _xlpm.cnt,  IFERROR(_xlfn.XMATCH(TRUE, _xlfn.REGEXTEST(_xlpm.区, "[《【]")) - 1, _xlpm.跨度),
  IF(_xlpm.cnt &lt; 1, 0,
     SUBTOTAL(9, INDEX(AB:AB,ROW()+1):INDEX(AB:AB,ROW()+_xlpm.cnt)))
)</f>
      </c>
      <c r="AC44" s="43"/>
      <c r="AD44" s="43"/>
      <c r="AE44" s="43"/>
      <c r="AF44" s="43"/>
      <c r="AG44" s="43"/>
      <c r="AH44" s="43"/>
      <c r="AI44" s="43">
        <f t="array" ref="AI44">_xlfn.LET(
  _xlpm.跨度, 500,
  _xlpm.区,   INDEX($C:$C,ROW()+1):INDEX($C:$C,ROW()+_xlpm.跨度),
  _xlpm.cnt,  IFERROR(_xlfn.XMATCH(TRUE, _xlfn.REGEXTEST(_xlpm.区, "[《【]")) - 1, _xlpm.跨度),
  IF(_xlpm.cnt &lt; 1, 0,
     SUBTOTAL(9, INDEX(AI:AI,ROW()+1):INDEX(AI:AI,ROW()+_xlpm.cnt)))
)</f>
      </c>
    </row>
    <row r="45" spans="1:35" ht="12" customHeight="1" outlineLevel="3">
      <c r="A45" s="26"/>
      <c r="B45" s="131"/>
      <c r="C45" s="131" t="s">
        <v>196</v>
      </c>
      <c r="D45" s="132"/>
      <c r="E45" s="133"/>
      <c r="F45" s="132"/>
      <c r="G45" s="134"/>
      <c r="H45" s="134"/>
      <c r="I45" s="134"/>
      <c r="J45" s="134"/>
      <c r="K45" s="134"/>
      <c r="L45" s="134"/>
      <c r="M45" s="134"/>
      <c r="N45" s="134"/>
      <c r="O45" s="134"/>
      <c r="P45" s="134"/>
      <c r="Q45" s="134"/>
      <c r="R45" s="131"/>
      <c r="S45" s="131"/>
      <c r="T45" s="131"/>
      <c r="U45" s="131"/>
      <c r="V45" s="131"/>
      <c r="W45" s="131"/>
      <c r="X45" s="131" t="str">
        <f t="shared" si="8"/>
        <v/>
      </c>
      <c r="Y45" s="134"/>
      <c r="Z45" s="134"/>
      <c r="AA45" s="134"/>
      <c r="AB45" s="134"/>
      <c r="AC45" s="134"/>
      <c r="AD45" s="134"/>
      <c r="AE45" s="134"/>
      <c r="AF45" s="134"/>
      <c r="AG45" s="134"/>
      <c r="AH45" s="134"/>
      <c r="AI45" s="134"/>
    </row>
    <row r="46" spans="1:35" ht="12" customHeight="1" outlineLevel="3">
      <c r="A46" s="26"/>
      <c r="B46" s="131"/>
      <c r="C46" s="131" t="s">
        <v>197</v>
      </c>
      <c r="D46" s="132"/>
      <c r="E46" s="133"/>
      <c r="F46" s="132"/>
      <c r="G46" s="134"/>
      <c r="H46" s="134"/>
      <c r="I46" s="134"/>
      <c r="J46" s="134"/>
      <c r="K46" s="134"/>
      <c r="L46" s="134"/>
      <c r="M46" s="134"/>
      <c r="N46" s="134"/>
      <c r="O46" s="134"/>
      <c r="P46" s="134"/>
      <c r="Q46" s="134"/>
      <c r="R46" s="131"/>
      <c r="S46" s="131"/>
      <c r="T46" s="131"/>
      <c r="U46" s="131"/>
      <c r="V46" s="131"/>
      <c r="W46" s="131"/>
      <c r="X46" s="131" t="str">
        <f t="shared" si="8"/>
        <v/>
      </c>
      <c r="Y46" s="134"/>
      <c r="Z46" s="134"/>
      <c r="AA46" s="134"/>
      <c r="AB46" s="134"/>
      <c r="AC46" s="134"/>
      <c r="AD46" s="134"/>
      <c r="AE46" s="134"/>
      <c r="AF46" s="134"/>
      <c r="AG46" s="134"/>
      <c r="AH46" s="134"/>
      <c r="AI46" s="134"/>
    </row>
    <row r="47" spans="1:35" ht="12" customHeight="1" outlineLevel="3">
      <c r="A47" s="26"/>
      <c r="B47" s="131"/>
      <c r="C47" s="131" t="s">
        <v>198</v>
      </c>
      <c r="D47" s="132"/>
      <c r="E47" s="133"/>
      <c r="F47" s="132"/>
      <c r="G47" s="134"/>
      <c r="H47" s="134"/>
      <c r="I47" s="134"/>
      <c r="J47" s="134"/>
      <c r="K47" s="134"/>
      <c r="L47" s="134"/>
      <c r="M47" s="134"/>
      <c r="N47" s="134"/>
      <c r="O47" s="134"/>
      <c r="P47" s="134"/>
      <c r="Q47" s="134"/>
      <c r="R47" s="131"/>
      <c r="S47" s="131"/>
      <c r="T47" s="131"/>
      <c r="U47" s="131"/>
      <c r="V47" s="131"/>
      <c r="W47" s="131"/>
      <c r="X47" s="131" t="str">
        <f t="shared" si="8"/>
        <v/>
      </c>
      <c r="Y47" s="134"/>
      <c r="Z47" s="134"/>
      <c r="AA47" s="134"/>
      <c r="AB47" s="134"/>
      <c r="AC47" s="134"/>
      <c r="AD47" s="134"/>
      <c r="AE47" s="134"/>
      <c r="AF47" s="134"/>
      <c r="AG47" s="134"/>
      <c r="AH47" s="134"/>
      <c r="AI47" s="134"/>
    </row>
    <row r="48" spans="1:35" ht="12" customHeight="1" outlineLevel="3">
      <c r="A48" s="26"/>
      <c r="B48" s="131"/>
      <c r="C48" s="131" t="s">
        <v>199</v>
      </c>
      <c r="D48" s="132"/>
      <c r="E48" s="133"/>
      <c r="F48" s="132"/>
      <c r="G48" s="134"/>
      <c r="H48" s="134"/>
      <c r="I48" s="134"/>
      <c r="J48" s="134"/>
      <c r="K48" s="134"/>
      <c r="L48" s="134"/>
      <c r="M48" s="134"/>
      <c r="N48" s="134"/>
      <c r="O48" s="134"/>
      <c r="P48" s="134"/>
      <c r="Q48" s="134"/>
      <c r="R48" s="131"/>
      <c r="S48" s="131"/>
      <c r="T48" s="131"/>
      <c r="U48" s="131"/>
      <c r="V48" s="131"/>
      <c r="W48" s="131"/>
      <c r="X48" s="131" t="str">
        <f t="shared" si="8"/>
        <v/>
      </c>
      <c r="Y48" s="134"/>
      <c r="Z48" s="134"/>
      <c r="AA48" s="134"/>
      <c r="AB48" s="134"/>
      <c r="AC48" s="134"/>
      <c r="AD48" s="134"/>
      <c r="AE48" s="134"/>
      <c r="AF48" s="134"/>
      <c r="AG48" s="134"/>
      <c r="AH48" s="134"/>
      <c r="AI48" s="134"/>
    </row>
    <row r="49" spans="1:35" ht="12" customHeight="1" outlineLevel="3" collapsed="1">
      <c r="A49" s="26"/>
      <c r="B49" s="131"/>
      <c r="C49" s="131" t="s">
        <v>200</v>
      </c>
      <c r="D49" s="132"/>
      <c r="E49" s="133"/>
      <c r="F49" s="132"/>
      <c r="G49" s="134"/>
      <c r="H49" s="134"/>
      <c r="I49" s="134"/>
      <c r="J49" s="134"/>
      <c r="K49" s="134"/>
      <c r="L49" s="134"/>
      <c r="M49" s="134"/>
      <c r="N49" s="134"/>
      <c r="O49" s="134"/>
      <c r="P49" s="134"/>
      <c r="Q49" s="134"/>
      <c r="R49" s="131"/>
      <c r="S49" s="131"/>
      <c r="T49" s="131"/>
      <c r="U49" s="131"/>
      <c r="V49" s="131"/>
      <c r="W49" s="131"/>
      <c r="X49" s="131" t="str">
        <f t="shared" si="8"/>
        <v/>
      </c>
      <c r="Y49" s="134"/>
      <c r="Z49" s="134"/>
      <c r="AA49" s="134"/>
      <c r="AB49" s="134"/>
      <c r="AC49" s="134"/>
      <c r="AD49" s="134"/>
      <c r="AE49" s="134"/>
      <c r="AF49" s="134"/>
      <c r="AG49" s="134"/>
      <c r="AH49" s="134"/>
      <c r="AI49" s="134"/>
    </row>
    <row r="50" spans="1:35" ht="12" customHeight="1" outlineLevel="3">
      <c r="A50" s="26"/>
      <c r="B50" s="131"/>
      <c r="C50" s="131" t="s">
        <v>13</v>
      </c>
      <c r="D50" s="132"/>
      <c r="E50" s="133"/>
      <c r="F50" s="132"/>
      <c r="G50" s="134"/>
      <c r="H50" s="134"/>
      <c r="I50" s="134"/>
      <c r="J50" s="134"/>
      <c r="K50" s="134"/>
      <c r="L50" s="134"/>
      <c r="M50" s="134"/>
      <c r="N50" s="134"/>
      <c r="O50" s="134"/>
      <c r="P50" s="134"/>
      <c r="Q50" s="134"/>
      <c r="R50" s="131"/>
      <c r="S50" s="131"/>
      <c r="T50" s="131"/>
      <c r="U50" s="131"/>
      <c r="V50" s="131"/>
      <c r="W50" s="131"/>
      <c r="X50" s="131" t="str">
        <f t="shared" si="8"/>
        <v/>
      </c>
      <c r="Y50" s="134"/>
      <c r="Z50" s="134"/>
      <c r="AA50" s="134"/>
      <c r="AB50" s="134"/>
      <c r="AC50" s="134"/>
      <c r="AD50" s="134"/>
      <c r="AE50" s="134"/>
      <c r="AF50" s="134"/>
      <c r="AG50" s="134"/>
      <c r="AH50" s="134"/>
      <c r="AI50" s="134"/>
    </row>
    <row r="51" spans="1:35" ht="12" customHeight="1" outlineLevel="3">
      <c r="A51" s="26"/>
      <c r="B51" s="131"/>
      <c r="C51" s="131" t="s">
        <v>13</v>
      </c>
      <c r="D51" s="132"/>
      <c r="E51" s="133"/>
      <c r="F51" s="132"/>
      <c r="G51" s="134"/>
      <c r="H51" s="134"/>
      <c r="I51" s="134"/>
      <c r="J51" s="134"/>
      <c r="K51" s="134"/>
      <c r="L51" s="134"/>
      <c r="M51" s="134"/>
      <c r="N51" s="134"/>
      <c r="O51" s="134"/>
      <c r="P51" s="134"/>
      <c r="Q51" s="134"/>
      <c r="R51" s="131"/>
      <c r="S51" s="131"/>
      <c r="T51" s="131"/>
      <c r="U51" s="131"/>
      <c r="V51" s="131"/>
      <c r="W51" s="131"/>
      <c r="X51" s="131" t="str">
        <f t="shared" si="8"/>
        <v/>
      </c>
      <c r="Y51" s="134"/>
      <c r="Z51" s="134"/>
      <c r="AA51" s="134"/>
      <c r="AB51" s="134"/>
      <c r="AC51" s="134"/>
      <c r="AD51" s="134"/>
      <c r="AE51" s="134"/>
      <c r="AF51" s="134"/>
      <c r="AG51" s="134"/>
      <c r="AH51" s="134"/>
      <c r="AI51" s="134"/>
    </row>
    <row r="52" spans="1:35" ht="14.4" customHeight="1" outlineLevel="1">
      <c r="A52" s="26"/>
      <c r="B52" s="44"/>
      <c r="C52" s="44" t="s">
        <v>253</v>
      </c>
      <c r="D52" s="32"/>
      <c r="E52" s="33"/>
      <c r="F52" s="32"/>
      <c r="G52" s="43"/>
      <c r="H52" s="43"/>
      <c r="I52" s="43"/>
      <c r="J52" s="43"/>
      <c r="K52" s="43">
        <f t="array" ref="K52">_xlfn.LET(
  _xlpm.跨度, 500,
  _xlpm.区,   INDEX($C:$C,ROW()+1):INDEX($C:$C,ROW()+_xlpm.跨度),
  _xlpm.cnt,  IFERROR(_xlfn.XMATCH(TRUE, _xlfn.REGEXTEST(_xlpm.区, "[《【]")) - 1, _xlpm.跨度),
  IF(_xlpm.cnt &lt; 1, 0,
     SUBTOTAL(9, INDEX(K:K,ROW()+1):INDEX(K:K,ROW()+_xlpm.cnt)))
)</f>
      </c>
      <c r="L52" s="43"/>
      <c r="M52" s="43"/>
      <c r="N52" s="43"/>
      <c r="O52" s="43"/>
      <c r="P52" s="43"/>
      <c r="Q52" s="43">
        <f t="array" ref="Q52">_xlfn.LET(
  _xlpm.跨度, 500,
  _xlpm.区,   INDEX($C:$C,ROW()+1):INDEX($C:$C,ROW()+_xlpm.跨度),
  _xlpm.cnt,  IFERROR(_xlfn.XMATCH(TRUE, _xlfn.REGEXTEST(_xlpm.区, "[《【]")) - 1, _xlpm.跨度),
  IF(_xlpm.cnt &lt; 1, 0,
     SUBTOTAL(9, INDEX(Q:Q,ROW()+1):INDEX(Q:Q,ROW()+_xlpm.cnt)))
)</f>
      </c>
      <c r="R52" s="44"/>
      <c r="S52" s="44"/>
      <c r="T52" s="44"/>
      <c r="U52" s="44"/>
      <c r="V52" s="44"/>
      <c r="W52" s="44"/>
      <c r="X52" s="44" t="str">
        <f t="shared" si="8"/>
        <v/>
      </c>
      <c r="Y52" s="43"/>
      <c r="Z52" s="43">
        <f t="array" ref="Z52">_xlfn.LET(
  _xlpm.跨度, 500,
  _xlpm.区,   INDEX($C:$C,ROW()+1):INDEX($C:$C,ROW()+_xlpm.跨度),
  _xlpm.cnt,  IFERROR(_xlfn.XMATCH(TRUE, _xlfn.REGEXTEST(_xlpm.区, "[《【]")) - 1, _xlpm.跨度),
  IF(_xlpm.cnt &lt; 1, 0,
     SUBTOTAL(9, INDEX(Z:Z,ROW()+1):INDEX(Z:Z,ROW()+_xlpm.cnt)))
)</f>
      </c>
      <c r="AA52" s="43"/>
      <c r="AB52" s="43">
        <f t="array" ref="AB52">_xlfn.LET(
  _xlpm.跨度, 500,
  _xlpm.区,   INDEX($C:$C,ROW()+1):INDEX($C:$C,ROW()+_xlpm.跨度),
  _xlpm.cnt,  IFERROR(_xlfn.XMATCH(TRUE, _xlfn.REGEXTEST(_xlpm.区, "[《【]")) - 1, _xlpm.跨度),
  IF(_xlpm.cnt &lt; 1, 0,
     SUBTOTAL(9, INDEX(AB:AB,ROW()+1):INDEX(AB:AB,ROW()+_xlpm.cnt)))
)</f>
      </c>
      <c r="AC52" s="43"/>
      <c r="AD52" s="43"/>
      <c r="AE52" s="43"/>
      <c r="AF52" s="43"/>
      <c r="AG52" s="43"/>
      <c r="AH52" s="43"/>
      <c r="AI52" s="43">
        <f t="array" ref="AI52">_xlfn.LET(
  _xlpm.跨度, 500,
  _xlpm.区,   INDEX($C:$C,ROW()+1):INDEX($C:$C,ROW()+_xlpm.跨度),
  _xlpm.cnt,  IFERROR(_xlfn.XMATCH(TRUE, _xlfn.REGEXTEST(_xlpm.区, "[《【]")) - 1, _xlpm.跨度),
  IF(_xlpm.cnt &lt; 1, 0,
     SUBTOTAL(9, INDEX(AI:AI,ROW()+1):INDEX(AI:AI,ROW()+_xlpm.cnt)))
)</f>
      </c>
    </row>
    <row r="53" spans="1:35" ht="12" customHeight="1" outlineLevel="3">
      <c r="A53" s="26"/>
      <c r="B53" s="131"/>
      <c r="C53" s="131" t="s">
        <v>201</v>
      </c>
      <c r="D53" s="132"/>
      <c r="E53" s="133"/>
      <c r="F53" s="132"/>
      <c r="G53" s="134"/>
      <c r="H53" s="134"/>
      <c r="I53" s="134"/>
      <c r="J53" s="134"/>
      <c r="K53" s="134"/>
      <c r="L53" s="134"/>
      <c r="M53" s="134"/>
      <c r="N53" s="134"/>
      <c r="O53" s="134"/>
      <c r="P53" s="134"/>
      <c r="Q53" s="134"/>
      <c r="R53" s="131"/>
      <c r="S53" s="131"/>
      <c r="T53" s="131"/>
      <c r="U53" s="131"/>
      <c r="V53" s="131"/>
      <c r="W53" s="131"/>
      <c r="X53" s="131" t="str">
        <f t="shared" si="8"/>
        <v/>
      </c>
      <c r="Y53" s="134"/>
      <c r="Z53" s="134"/>
      <c r="AA53" s="134"/>
      <c r="AB53" s="134"/>
      <c r="AC53" s="134"/>
      <c r="AD53" s="134"/>
      <c r="AE53" s="134"/>
      <c r="AF53" s="134"/>
      <c r="AG53" s="134"/>
      <c r="AH53" s="134"/>
      <c r="AI53" s="134"/>
    </row>
    <row r="54" spans="1:35" ht="12" customHeight="1" outlineLevel="3">
      <c r="A54" s="26"/>
      <c r="B54" s="131"/>
      <c r="C54" s="131" t="s">
        <v>202</v>
      </c>
      <c r="D54" s="132"/>
      <c r="E54" s="133"/>
      <c r="F54" s="132"/>
      <c r="G54" s="134"/>
      <c r="H54" s="134"/>
      <c r="I54" s="134"/>
      <c r="J54" s="134"/>
      <c r="K54" s="134"/>
      <c r="L54" s="134"/>
      <c r="M54" s="134"/>
      <c r="N54" s="134"/>
      <c r="O54" s="134"/>
      <c r="P54" s="134"/>
      <c r="Q54" s="134"/>
      <c r="R54" s="131"/>
      <c r="S54" s="131"/>
      <c r="T54" s="131"/>
      <c r="U54" s="131"/>
      <c r="V54" s="131"/>
      <c r="W54" s="131"/>
      <c r="X54" s="131" t="str">
        <f t="shared" si="8"/>
        <v/>
      </c>
      <c r="Y54" s="134"/>
      <c r="Z54" s="134"/>
      <c r="AA54" s="134"/>
      <c r="AB54" s="134"/>
      <c r="AC54" s="134"/>
      <c r="AD54" s="134"/>
      <c r="AE54" s="134"/>
      <c r="AF54" s="134"/>
      <c r="AG54" s="134"/>
      <c r="AH54" s="134"/>
      <c r="AI54" s="134"/>
    </row>
    <row r="55" spans="1:35" ht="12" customHeight="1" outlineLevel="2">
      <c r="A55" s="26"/>
      <c r="B55" s="46"/>
      <c r="C55" s="46" t="s">
        <v>254</v>
      </c>
      <c r="D55" s="35"/>
      <c r="E55" s="36"/>
      <c r="F55" s="35"/>
      <c r="G55" s="45"/>
      <c r="H55" s="45"/>
      <c r="I55" s="45"/>
      <c r="J55" s="45"/>
      <c r="K55" s="45"/>
      <c r="L55" s="45"/>
      <c r="M55" s="45"/>
      <c r="N55" s="45"/>
      <c r="O55" s="45"/>
      <c r="P55" s="45"/>
      <c r="Q55" s="45"/>
      <c r="R55" s="46"/>
      <c r="S55" s="46"/>
      <c r="T55" s="46"/>
      <c r="U55" s="46"/>
      <c r="V55" s="46"/>
      <c r="W55" s="46"/>
      <c r="X55" s="46" t="str">
        <f t="shared" si="8"/>
        <v/>
      </c>
      <c r="Y55" s="45"/>
      <c r="Z55" s="45"/>
      <c r="AA55" s="45"/>
      <c r="AB55" s="45"/>
      <c r="AC55" s="45"/>
      <c r="AD55" s="45"/>
      <c r="AE55" s="45"/>
      <c r="AF55" s="45"/>
      <c r="AG55" s="45"/>
      <c r="AH55" s="45"/>
      <c r="AI55" s="45"/>
    </row>
    <row r="56" spans="1:35" ht="13.2" customHeight="1" outlineLevel="3">
      <c r="A56" s="26" t="str" cm="1">
        <f t="array" ref="A56">_xlfn.LET(
 _xlpm.Item,C56,
 _xlpm.Unit,D56,
 _xlpm.DataRng,$C$4:C56,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_xlpm.Strip(_xlpm.Level1)&amp;"|"&amp;_xlpm.Strip(_xlpm.Level2)&amp;"|"&amp;_xlpm.Strip(_xlpm.Level3)&amp;"|"&amp;_xlpm.Hash(_xlpm.Item&amp;"@"&amp;_xlpm.Unit&amp;E56)
)</f>
      </c>
      <c r="B56" s="38" t="s">
        <v>255</v>
      </c>
      <c r="C56" s="38" t="s">
        <v>256</v>
      </c>
      <c r="D56" s="34" t="s">
        <v>19</v>
      </c>
      <c r="E56" s="37">
        <v>303.55309999999997</v>
      </c>
      <c r="F56" s="34"/>
      <c r="G56" s="37">
        <f t="shared" ref="G56:I61" si="11">PRODUCT(M56*G$2,$F56)</f>
      </c>
      <c r="H56" s="37">
        <f t="shared" si="11"/>
      </c>
      <c r="I56" s="37">
        <f t="shared" si="11"/>
      </c>
      <c r="J56" s="37"/>
      <c r="K56" s="37">
        <f t="shared" ref="K56:K61" si="12">J56*$E56</f>
      </c>
      <c r="L56" s="37"/>
      <c r="M56" s="37">
        <f t="shared" ref="M56:M61" si="13">P56*75%</f>
      </c>
      <c r="N56" s="37"/>
      <c r="O56" s="37"/>
      <c r="P56" s="51"/>
      <c r="Q56" s="37">
        <f t="shared" ref="Q56:Q61" si="14">P56*$E56</f>
      </c>
      <c r="R56" s="38" t="s">
        <v>203</v>
      </c>
      <c r="S56" s="38" t="s">
        <v>28</v>
      </c>
      <c r="T56" s="38" t="s">
        <v>29</v>
      </c>
      <c r="U56" s="38" t="s">
        <v>30</v>
      </c>
      <c r="V56" s="38" t="s">
        <v>30</v>
      </c>
      <c r="W56" s="38" t="str" cm="1">
        <f t="array" ref="W56">_xlfn.LET(
    _xlpm.Item,S56,
    _xlpm.Unit,X56,
    _xlpm.Hash,_xlfn.LAMBDA(_xlpm.x,IF(LEN(_xlpm.x)=0,0,SUMPRODUCT(CODE(MID(_xlpm.x,_xlfn.SEQUENCE(LEN(_xlpm.x)),1))*_xlfn.SEQUENCE(LEN(_xlpm.x))))),
    _xlpm.Item&amp;"|"&amp;_xlpm.Hash(_xlpm.Unit)
)</f>
      </c>
      <c r="X56" s="38" t="str">
        <f t="shared" si="8"/>
      </c>
      <c r="Y56" s="37" cm="1">
        <f t="array" ref="Y56">IFERROR(VLOOKUP(W56,UniqueShot!F:AJ,COLUMN(UniqueShot!AI:AI)-COLUMN(UniqueShot!F:F)+1,FALSE),0)</f>
      </c>
      <c r="Z56" s="37">
        <f t="shared" ref="Z56:Z61" si="15">Y56*$E56</f>
      </c>
      <c r="AA56" s="37">
        <f>IFERROR(VLOOKUP(W56,UniqueShot!F:M,5,FALSE),0)</f>
      </c>
      <c r="AB56" s="37">
        <f t="shared" ref="AB56:AB61" si="16">AA56*$E56</f>
      </c>
      <c r="AC56" s="37"/>
      <c r="AD56" s="37"/>
      <c r="AE56" s="37"/>
      <c r="AF56" s="37"/>
      <c r="AG56" s="37"/>
      <c r="AH56" s="37"/>
      <c r="AI56" s="37">
        <f t="shared" ref="AI56:AI61" si="17">AH56*$E56</f>
      </c>
    </row>
    <row r="57" spans="1:35" ht="13.2" customHeight="1" outlineLevel="3">
      <c r="A57" s="26" t="str" cm="1">
        <f t="array" ref="A57">_xlfn.LET(
 _xlpm.Item,C57,
 _xlpm.Unit,D57,
 _xlpm.DataRng,$C$4:C57,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_xlpm.Strip(_xlpm.Level1)&amp;"|"&amp;_xlpm.Strip(_xlpm.Level2)&amp;"|"&amp;_xlpm.Strip(_xlpm.Level3)&amp;"|"&amp;_xlpm.Hash(_xlpm.Item&amp;"@"&amp;_xlpm.Unit&amp;E57)
)</f>
      </c>
      <c r="B57" s="38" t="s">
        <v>257</v>
      </c>
      <c r="C57" s="38" t="s">
        <v>258</v>
      </c>
      <c r="D57" s="34" t="s">
        <v>19</v>
      </c>
      <c r="E57" s="37">
        <v>2766.4340999999999</v>
      </c>
      <c r="F57" s="34"/>
      <c r="G57" s="37">
        <f t="shared" si="11"/>
      </c>
      <c r="H57" s="37">
        <f t="shared" si="11"/>
      </c>
      <c r="I57" s="37">
        <f t="shared" si="11"/>
      </c>
      <c r="J57" s="37"/>
      <c r="K57" s="37">
        <f t="shared" si="12"/>
      </c>
      <c r="L57" s="37"/>
      <c r="M57" s="37">
        <f t="shared" si="13"/>
      </c>
      <c r="N57" s="37"/>
      <c r="O57" s="37"/>
      <c r="P57" s="51"/>
      <c r="Q57" s="37">
        <f t="shared" si="14"/>
      </c>
      <c r="R57" s="38" t="s">
        <v>203</v>
      </c>
      <c r="S57" s="38" t="s">
        <v>28</v>
      </c>
      <c r="T57" s="38" t="s">
        <v>29</v>
      </c>
      <c r="U57" s="38" t="s">
        <v>30</v>
      </c>
      <c r="V57" s="38" t="s">
        <v>30</v>
      </c>
      <c r="W57" s="38" t="str" cm="1">
        <f t="array" ref="W57">_xlfn.LET(
    _xlpm.Item,S57,
    _xlpm.Unit,X57,
    _xlpm.Hash,_xlfn.LAMBDA(_xlpm.x,IF(LEN(_xlpm.x)=0,0,SUMPRODUCT(CODE(MID(_xlpm.x,_xlfn.SEQUENCE(LEN(_xlpm.x)),1))*_xlfn.SEQUENCE(LEN(_xlpm.x))))),
    _xlpm.Item&amp;"|"&amp;_xlpm.Hash(_xlpm.Unit)
)</f>
      </c>
      <c r="X57" s="38" t="str">
        <f t="shared" si="8"/>
      </c>
      <c r="Y57" s="37" cm="1">
        <f t="array" ref="Y57">IFERROR(VLOOKUP(W57,UniqueShot!F:AJ,COLUMN(UniqueShot!AI:AI)-COLUMN(UniqueShot!F:F)+1,FALSE),0)</f>
      </c>
      <c r="Z57" s="37">
        <f t="shared" si="15"/>
      </c>
      <c r="AA57" s="37">
        <f>IFERROR(VLOOKUP(W57,UniqueShot!F:M,5,FALSE),0)</f>
      </c>
      <c r="AB57" s="37">
        <f t="shared" si="16"/>
      </c>
      <c r="AC57" s="37"/>
      <c r="AD57" s="37"/>
      <c r="AE57" s="37"/>
      <c r="AF57" s="37"/>
      <c r="AG57" s="37"/>
      <c r="AH57" s="37"/>
      <c r="AI57" s="37">
        <f t="shared" si="17"/>
      </c>
    </row>
    <row r="58" spans="1:35" ht="13.2" customHeight="1" outlineLevel="3">
      <c r="A58" s="26" t="str" cm="1">
        <f t="array" ref="A58">_xlfn.LET(
 _xlpm.Item,C58,
 _xlpm.Unit,D58,
 _xlpm.DataRng,$C$4:C58,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_xlpm.Strip(_xlpm.Level1)&amp;"|"&amp;_xlpm.Strip(_xlpm.Level2)&amp;"|"&amp;_xlpm.Strip(_xlpm.Level3)&amp;"|"&amp;_xlpm.Hash(_xlpm.Item&amp;"@"&amp;_xlpm.Unit&amp;E58)
)</f>
      </c>
      <c r="B58" s="38" t="s">
        <v>259</v>
      </c>
      <c r="C58" s="38" t="s">
        <v>101</v>
      </c>
      <c r="D58" s="34" t="s">
        <v>19</v>
      </c>
      <c r="E58" s="37">
        <v>1230.328</v>
      </c>
      <c r="F58" s="34"/>
      <c r="G58" s="37">
        <f t="shared" si="11"/>
      </c>
      <c r="H58" s="37">
        <f t="shared" si="11"/>
      </c>
      <c r="I58" s="37">
        <f t="shared" si="11"/>
      </c>
      <c r="J58" s="37"/>
      <c r="K58" s="37">
        <f t="shared" si="12"/>
      </c>
      <c r="L58" s="37"/>
      <c r="M58" s="37">
        <f t="shared" si="13"/>
      </c>
      <c r="N58" s="37"/>
      <c r="O58" s="37"/>
      <c r="P58" s="51"/>
      <c r="Q58" s="37">
        <f t="shared" si="14"/>
      </c>
      <c r="R58" s="38" t="s">
        <v>203</v>
      </c>
      <c r="S58" s="38" t="s">
        <v>28</v>
      </c>
      <c r="T58" s="38" t="s">
        <v>29</v>
      </c>
      <c r="U58" s="38" t="s">
        <v>30</v>
      </c>
      <c r="V58" s="38" t="s">
        <v>30</v>
      </c>
      <c r="W58" s="38" t="str" cm="1">
        <f t="array" ref="W58">_xlfn.LET(
    _xlpm.Item,S58,
    _xlpm.Unit,X58,
    _xlpm.Hash,_xlfn.LAMBDA(_xlpm.x,IF(LEN(_xlpm.x)=0,0,SUMPRODUCT(CODE(MID(_xlpm.x,_xlfn.SEQUENCE(LEN(_xlpm.x)),1))*_xlfn.SEQUENCE(LEN(_xlpm.x))))),
    _xlpm.Item&amp;"|"&amp;_xlpm.Hash(_xlpm.Unit)
)</f>
      </c>
      <c r="X58" s="38" t="str">
        <f t="shared" si="8"/>
      </c>
      <c r="Y58" s="37" cm="1">
        <f t="array" ref="Y58">IFERROR(VLOOKUP(W58,UniqueShot!F:AJ,COLUMN(UniqueShot!AI:AI)-COLUMN(UniqueShot!F:F)+1,FALSE),0)</f>
      </c>
      <c r="Z58" s="37">
        <f t="shared" si="15"/>
      </c>
      <c r="AA58" s="37">
        <f>IFERROR(VLOOKUP(W58,UniqueShot!F:M,5,FALSE),0)</f>
      </c>
      <c r="AB58" s="37">
        <f t="shared" si="16"/>
      </c>
      <c r="AC58" s="37"/>
      <c r="AD58" s="37"/>
      <c r="AE58" s="37"/>
      <c r="AF58" s="37"/>
      <c r="AG58" s="37"/>
      <c r="AH58" s="37"/>
      <c r="AI58" s="37">
        <f t="shared" si="17"/>
      </c>
    </row>
    <row r="59" spans="1:35" ht="13.2" customHeight="1" outlineLevel="3">
      <c r="A59" s="26" t="str" cm="1">
        <f t="array" ref="A59">_xlfn.LET(
 _xlpm.Item,C59,
 _xlpm.Unit,D59,
 _xlpm.DataRng,$C$4:C59,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_xlpm.Strip(_xlpm.Level1)&amp;"|"&amp;_xlpm.Strip(_xlpm.Level2)&amp;"|"&amp;_xlpm.Strip(_xlpm.Level3)&amp;"|"&amp;_xlpm.Hash(_xlpm.Item&amp;"@"&amp;_xlpm.Unit&amp;E59)
)</f>
      </c>
      <c r="B59" s="38" t="s">
        <v>260</v>
      </c>
      <c r="C59" s="38" t="s">
        <v>261</v>
      </c>
      <c r="D59" s="34" t="s">
        <v>19</v>
      </c>
      <c r="E59" s="37">
        <v>7156.3549999999996</v>
      </c>
      <c r="F59" s="34"/>
      <c r="G59" s="37">
        <f t="shared" si="11"/>
      </c>
      <c r="H59" s="37">
        <f t="shared" si="11"/>
      </c>
      <c r="I59" s="37">
        <f t="shared" si="11"/>
      </c>
      <c r="J59" s="37"/>
      <c r="K59" s="37">
        <f t="shared" si="12"/>
      </c>
      <c r="L59" s="37"/>
      <c r="M59" s="37">
        <f t="shared" si="13"/>
      </c>
      <c r="N59" s="37"/>
      <c r="O59" s="37"/>
      <c r="P59" s="51"/>
      <c r="Q59" s="37">
        <f t="shared" si="14"/>
      </c>
      <c r="R59" s="38" t="s">
        <v>203</v>
      </c>
      <c r="S59" s="38" t="s">
        <v>28</v>
      </c>
      <c r="T59" s="38" t="s">
        <v>29</v>
      </c>
      <c r="U59" s="38" t="s">
        <v>31</v>
      </c>
      <c r="V59" s="38" t="s">
        <v>262</v>
      </c>
      <c r="W59" s="38" t="str" cm="1">
        <f t="array" ref="W59">_xlfn.LET(
    _xlpm.Item,S59,
    _xlpm.Unit,X59,
    _xlpm.Hash,_xlfn.LAMBDA(_xlpm.x,IF(LEN(_xlpm.x)=0,0,SUMPRODUCT(CODE(MID(_xlpm.x,_xlfn.SEQUENCE(LEN(_xlpm.x)),1))*_xlfn.SEQUENCE(LEN(_xlpm.x))))),
    _xlpm.Item&amp;"|"&amp;_xlpm.Hash(_xlpm.Unit)
)</f>
      </c>
      <c r="X59" s="38" t="str">
        <f t="shared" si="8"/>
      </c>
      <c r="Y59" s="37" cm="1">
        <f t="array" ref="Y59">IFERROR(VLOOKUP(W59,UniqueShot!F:AJ,COLUMN(UniqueShot!AI:AI)-COLUMN(UniqueShot!F:F)+1,FALSE),0)</f>
      </c>
      <c r="Z59" s="37">
        <f t="shared" si="15"/>
      </c>
      <c r="AA59" s="37">
        <f>IFERROR(VLOOKUP(W59,UniqueShot!F:M,5,FALSE),0)</f>
      </c>
      <c r="AB59" s="37">
        <f t="shared" si="16"/>
      </c>
      <c r="AC59" s="37"/>
      <c r="AD59" s="37"/>
      <c r="AE59" s="37"/>
      <c r="AF59" s="37"/>
      <c r="AG59" s="37"/>
      <c r="AH59" s="37"/>
      <c r="AI59" s="37">
        <f t="shared" si="17"/>
      </c>
    </row>
    <row r="60" spans="1:35" ht="13.2" customHeight="1" outlineLevel="3">
      <c r="A60" s="26" t="str" cm="1">
        <f t="array" ref="A60">_xlfn.LET(
 _xlpm.Item,C60,
 _xlpm.Unit,D60,
 _xlpm.DataRng,$C$4:C60,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_xlpm.Strip(_xlpm.Level1)&amp;"|"&amp;_xlpm.Strip(_xlpm.Level2)&amp;"|"&amp;_xlpm.Strip(_xlpm.Level3)&amp;"|"&amp;_xlpm.Hash(_xlpm.Item&amp;"@"&amp;_xlpm.Unit&amp;E60)
)</f>
      </c>
      <c r="B60" s="38" t="s">
        <v>263</v>
      </c>
      <c r="C60" s="38" t="s">
        <v>264</v>
      </c>
      <c r="D60" s="34" t="s">
        <v>19</v>
      </c>
      <c r="E60" s="37">
        <v>534.03510000000006</v>
      </c>
      <c r="F60" s="34"/>
      <c r="G60" s="37">
        <f t="shared" si="11"/>
      </c>
      <c r="H60" s="37">
        <f t="shared" si="11"/>
      </c>
      <c r="I60" s="37">
        <f t="shared" si="11"/>
      </c>
      <c r="J60" s="37"/>
      <c r="K60" s="37">
        <f t="shared" si="12"/>
      </c>
      <c r="L60" s="37"/>
      <c r="M60" s="37">
        <f t="shared" si="13"/>
      </c>
      <c r="N60" s="37"/>
      <c r="O60" s="37"/>
      <c r="P60" s="51"/>
      <c r="Q60" s="37">
        <f t="shared" si="14"/>
      </c>
      <c r="R60" s="38" t="s">
        <v>203</v>
      </c>
      <c r="S60" s="38" t="s">
        <v>28</v>
      </c>
      <c r="T60" s="38" t="s">
        <v>29</v>
      </c>
      <c r="U60" s="38" t="s">
        <v>32</v>
      </c>
      <c r="V60" s="38" t="s">
        <v>265</v>
      </c>
      <c r="W60" s="38" t="str" cm="1">
        <f t="array" ref="W60">_xlfn.LET(
    _xlpm.Item,S60,
    _xlpm.Unit,X60,
    _xlpm.Hash,_xlfn.LAMBDA(_xlpm.x,IF(LEN(_xlpm.x)=0,0,SUMPRODUCT(CODE(MID(_xlpm.x,_xlfn.SEQUENCE(LEN(_xlpm.x)),1))*_xlfn.SEQUENCE(LEN(_xlpm.x))))),
    _xlpm.Item&amp;"|"&amp;_xlpm.Hash(_xlpm.Unit)
)</f>
      </c>
      <c r="X60" s="38" t="str">
        <f t="shared" si="8"/>
      </c>
      <c r="Y60" s="37" cm="1">
        <f t="array" ref="Y60">IFERROR(VLOOKUP(W60,UniqueShot!F:AJ,COLUMN(UniqueShot!AI:AI)-COLUMN(UniqueShot!F:F)+1,FALSE),0)</f>
      </c>
      <c r="Z60" s="37">
        <f t="shared" si="15"/>
      </c>
      <c r="AA60" s="37">
        <f>IFERROR(VLOOKUP(W60,UniqueShot!F:M,5,FALSE),0)</f>
      </c>
      <c r="AB60" s="37">
        <f t="shared" si="16"/>
      </c>
      <c r="AC60" s="37"/>
      <c r="AD60" s="37"/>
      <c r="AE60" s="37"/>
      <c r="AF60" s="37"/>
      <c r="AG60" s="37"/>
      <c r="AH60" s="37"/>
      <c r="AI60" s="37">
        <f t="shared" si="17"/>
      </c>
    </row>
    <row r="61" spans="1:35" ht="13.2" customHeight="1" outlineLevel="3">
      <c r="A61" s="26" t="str" cm="1">
        <f t="array" ref="A61">_xlfn.LET(
 _xlpm.Item,C61,
 _xlpm.Unit,D61,
 _xlpm.DataRng,$C$4:C61,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_xlpm.Strip(_xlpm.Level1)&amp;"|"&amp;_xlpm.Strip(_xlpm.Level2)&amp;"|"&amp;_xlpm.Strip(_xlpm.Level3)&amp;"|"&amp;_xlpm.Hash(_xlpm.Item&amp;"@"&amp;_xlpm.Unit&amp;E61)
)</f>
      </c>
      <c r="B61" s="38" t="s">
        <v>266</v>
      </c>
      <c r="C61" s="38" t="s">
        <v>267</v>
      </c>
      <c r="D61" s="34" t="s">
        <v>19</v>
      </c>
      <c r="E61" s="37">
        <v>3761.4087</v>
      </c>
      <c r="F61" s="34"/>
      <c r="G61" s="37">
        <f t="shared" si="11"/>
      </c>
      <c r="H61" s="37">
        <f t="shared" si="11"/>
      </c>
      <c r="I61" s="37">
        <f t="shared" si="11"/>
      </c>
      <c r="J61" s="37"/>
      <c r="K61" s="37">
        <f t="shared" si="12"/>
      </c>
      <c r="L61" s="37"/>
      <c r="M61" s="37">
        <f t="shared" si="13"/>
      </c>
      <c r="N61" s="37"/>
      <c r="O61" s="37"/>
      <c r="P61" s="51"/>
      <c r="Q61" s="37">
        <f t="shared" si="14"/>
      </c>
      <c r="R61" s="38" t="s">
        <v>203</v>
      </c>
      <c r="S61" s="38" t="s">
        <v>28</v>
      </c>
      <c r="T61" s="38" t="s">
        <v>29</v>
      </c>
      <c r="U61" s="38" t="s">
        <v>33</v>
      </c>
      <c r="V61" s="38" t="s">
        <v>268</v>
      </c>
      <c r="W61" s="38" t="str" cm="1">
        <f t="array" ref="W61">_xlfn.LET(
    _xlpm.Item,S61,
    _xlpm.Unit,X61,
    _xlpm.Hash,_xlfn.LAMBDA(_xlpm.x,IF(LEN(_xlpm.x)=0,0,SUMPRODUCT(CODE(MID(_xlpm.x,_xlfn.SEQUENCE(LEN(_xlpm.x)),1))*_xlfn.SEQUENCE(LEN(_xlpm.x))))),
    _xlpm.Item&amp;"|"&amp;_xlpm.Hash(_xlpm.Unit)
)</f>
      </c>
      <c r="X61" s="38" t="str">
        <f t="shared" si="8"/>
      </c>
      <c r="Y61" s="37" cm="1">
        <f t="array" ref="Y61">IFERROR(VLOOKUP(W61,UniqueShot!F:AJ,COLUMN(UniqueShot!AI:AI)-COLUMN(UniqueShot!F:F)+1,FALSE),0)</f>
      </c>
      <c r="Z61" s="37">
        <f t="shared" si="15"/>
      </c>
      <c r="AA61" s="37">
        <f>IFERROR(VLOOKUP(W61,UniqueShot!F:M,5,FALSE),0)</f>
      </c>
      <c r="AB61" s="37">
        <f t="shared" si="16"/>
      </c>
      <c r="AC61" s="37"/>
      <c r="AD61" s="37"/>
      <c r="AE61" s="37"/>
      <c r="AF61" s="37"/>
      <c r="AG61" s="37"/>
      <c r="AH61" s="37"/>
      <c r="AI61" s="37">
        <f t="shared" si="17"/>
      </c>
    </row>
    <row r="62" spans="1:35" ht="12" customHeight="1" outlineLevel="2">
      <c r="A62" s="26"/>
      <c r="B62" s="46"/>
      <c r="C62" s="46" t="s">
        <v>269</v>
      </c>
      <c r="D62" s="35"/>
      <c r="E62" s="36"/>
      <c r="F62" s="35"/>
      <c r="G62" s="45"/>
      <c r="H62" s="45"/>
      <c r="I62" s="45"/>
      <c r="J62" s="45"/>
      <c r="K62" s="45"/>
      <c r="L62" s="45"/>
      <c r="M62" s="45"/>
      <c r="N62" s="45"/>
      <c r="O62" s="45"/>
      <c r="P62" s="45"/>
      <c r="Q62" s="45"/>
      <c r="R62" s="46"/>
      <c r="S62" s="46"/>
      <c r="T62" s="46"/>
      <c r="U62" s="46"/>
      <c r="V62" s="46"/>
      <c r="W62" s="46"/>
      <c r="X62" s="46" t="str">
        <f t="shared" si="8"/>
        <v/>
      </c>
      <c r="Y62" s="45"/>
      <c r="Z62" s="45"/>
      <c r="AA62" s="45"/>
      <c r="AB62" s="45"/>
      <c r="AC62" s="45"/>
      <c r="AD62" s="45"/>
      <c r="AE62" s="45"/>
      <c r="AF62" s="45"/>
      <c r="AG62" s="45"/>
      <c r="AH62" s="45"/>
      <c r="AI62" s="45"/>
    </row>
    <row r="63" spans="1:35" ht="13.2" customHeight="1" outlineLevel="3">
      <c r="A63" s="26" t="str" cm="1">
        <f t="array" ref="A63">_xlfn.LET(
 _xlpm.Item,C63,
 _xlpm.Unit,D63,
 _xlpm.DataRng,$C$4:C63,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_xlpm.Strip(_xlpm.Level1)&amp;"|"&amp;_xlpm.Strip(_xlpm.Level2)&amp;"|"&amp;_xlpm.Strip(_xlpm.Level3)&amp;"|"&amp;_xlpm.Hash(_xlpm.Item&amp;"@"&amp;_xlpm.Unit&amp;E63)
)</f>
      </c>
      <c r="B63" s="38" t="s">
        <v>270</v>
      </c>
      <c r="C63" s="38" t="s">
        <v>271</v>
      </c>
      <c r="D63" s="34" t="s">
        <v>272</v>
      </c>
      <c r="E63" s="37">
        <v>679.05240000000003</v>
      </c>
      <c r="F63" s="34"/>
      <c r="G63" s="37">
        <f t="shared" ref="G63:I66" si="18">PRODUCT(M63*G$2,$F63)</f>
      </c>
      <c r="H63" s="37">
        <f t="shared" si="18"/>
      </c>
      <c r="I63" s="37">
        <f t="shared" si="18"/>
      </c>
      <c r="J63" s="37"/>
      <c r="K63" s="37">
        <f>J63*$E63</f>
      </c>
      <c r="L63" s="37"/>
      <c r="M63" s="37">
        <f>P63*75%</f>
      </c>
      <c r="N63" s="37"/>
      <c r="O63" s="37"/>
      <c r="P63" s="51"/>
      <c r="Q63" s="37">
        <f>P63*$E63</f>
      </c>
      <c r="R63" s="38" t="s">
        <v>203</v>
      </c>
      <c r="S63" s="38" t="s">
        <v>28</v>
      </c>
      <c r="T63" s="38" t="s">
        <v>29</v>
      </c>
      <c r="U63" s="38" t="s">
        <v>273</v>
      </c>
      <c r="V63" s="38" t="s">
        <v>30</v>
      </c>
      <c r="W63" s="38" t="str" cm="1">
        <f t="array" ref="W63">_xlfn.LET(
    _xlpm.Item,S63,
    _xlpm.Unit,X63,
    _xlpm.Hash,_xlfn.LAMBDA(_xlpm.x,IF(LEN(_xlpm.x)=0,0,SUMPRODUCT(CODE(MID(_xlpm.x,_xlfn.SEQUENCE(LEN(_xlpm.x)),1))*_xlfn.SEQUENCE(LEN(_xlpm.x))))),
    _xlpm.Item&amp;"|"&amp;_xlpm.Hash(_xlpm.Unit)
)</f>
      </c>
      <c r="X63" s="38" t="str">
        <f t="shared" si="8"/>
      </c>
      <c r="Y63" s="37" cm="1">
        <f t="array" ref="Y63">IFERROR(VLOOKUP(W63,UniqueShot!F:AJ,COLUMN(UniqueShot!AI:AI)-COLUMN(UniqueShot!F:F)+1,FALSE),0)</f>
      </c>
      <c r="Z63" s="37">
        <f>Y63*$E63</f>
      </c>
      <c r="AA63" s="37">
        <f>IFERROR(VLOOKUP(W63,UniqueShot!F:M,5,FALSE),0)</f>
      </c>
      <c r="AB63" s="37">
        <f>AA63*$E63</f>
      </c>
      <c r="AC63" s="37"/>
      <c r="AD63" s="37"/>
      <c r="AE63" s="37"/>
      <c r="AF63" s="37"/>
      <c r="AG63" s="37"/>
      <c r="AH63" s="37"/>
      <c r="AI63" s="37">
        <f>AH63*$E63</f>
      </c>
    </row>
    <row r="64" spans="1:35" ht="13.2" customHeight="1" outlineLevel="3">
      <c r="A64" s="26" t="str" cm="1">
        <f t="array" ref="A64">_xlfn.LET(
 _xlpm.Item,C64,
 _xlpm.Unit,D64,
 _xlpm.DataRng,$C$4:C64,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_xlpm.Strip(_xlpm.Level1)&amp;"|"&amp;_xlpm.Strip(_xlpm.Level2)&amp;"|"&amp;_xlpm.Strip(_xlpm.Level3)&amp;"|"&amp;_xlpm.Hash(_xlpm.Item&amp;"@"&amp;_xlpm.Unit&amp;E64)
)</f>
      </c>
      <c r="B64" s="38" t="s">
        <v>274</v>
      </c>
      <c r="C64" s="38" t="s">
        <v>275</v>
      </c>
      <c r="D64" s="34" t="s">
        <v>272</v>
      </c>
      <c r="E64" s="37">
        <v>5669.4674000000005</v>
      </c>
      <c r="F64" s="34"/>
      <c r="G64" s="37">
        <f t="shared" si="18"/>
      </c>
      <c r="H64" s="37">
        <f t="shared" si="18"/>
      </c>
      <c r="I64" s="37">
        <f t="shared" si="18"/>
      </c>
      <c r="J64" s="37"/>
      <c r="K64" s="37">
        <f>J64*$E64</f>
      </c>
      <c r="L64" s="37"/>
      <c r="M64" s="37">
        <f>P64*75%</f>
      </c>
      <c r="N64" s="37"/>
      <c r="O64" s="37"/>
      <c r="P64" s="51"/>
      <c r="Q64" s="37">
        <f>P64*$E64</f>
      </c>
      <c r="R64" s="38" t="s">
        <v>203</v>
      </c>
      <c r="S64" s="38" t="s">
        <v>28</v>
      </c>
      <c r="T64" s="38" t="s">
        <v>29</v>
      </c>
      <c r="U64" s="38" t="s">
        <v>273</v>
      </c>
      <c r="V64" s="38" t="s">
        <v>262</v>
      </c>
      <c r="W64" s="38" t="str" cm="1">
        <f t="array" ref="W64">_xlfn.LET(
    _xlpm.Item,S64,
    _xlpm.Unit,X64,
    _xlpm.Hash,_xlfn.LAMBDA(_xlpm.x,IF(LEN(_xlpm.x)=0,0,SUMPRODUCT(CODE(MID(_xlpm.x,_xlfn.SEQUENCE(LEN(_xlpm.x)),1))*_xlfn.SEQUENCE(LEN(_xlpm.x))))),
    _xlpm.Item&amp;"|"&amp;_xlpm.Hash(_xlpm.Unit)
)</f>
      </c>
      <c r="X64" s="38" t="str">
        <f t="shared" si="8"/>
      </c>
      <c r="Y64" s="37" cm="1">
        <f t="array" ref="Y64">IFERROR(VLOOKUP(W64,UniqueShot!F:AJ,COLUMN(UniqueShot!AI:AI)-COLUMN(UniqueShot!F:F)+1,FALSE),0)</f>
      </c>
      <c r="Z64" s="37">
        <f>Y64*$E64</f>
      </c>
      <c r="AA64" s="37">
        <f>IFERROR(VLOOKUP(W64,UniqueShot!F:M,5,FALSE),0)</f>
      </c>
      <c r="AB64" s="37">
        <f>AA64*$E64</f>
      </c>
      <c r="AC64" s="37"/>
      <c r="AD64" s="37"/>
      <c r="AE64" s="37"/>
      <c r="AF64" s="37"/>
      <c r="AG64" s="37"/>
      <c r="AH64" s="37"/>
      <c r="AI64" s="37">
        <f>AH64*$E64</f>
      </c>
    </row>
    <row r="65" spans="1:35" ht="13.2" customHeight="1" outlineLevel="3">
      <c r="A65" s="26" t="str" cm="1">
        <f t="array" ref="A65">_xlfn.LET(
 _xlpm.Item,C65,
 _xlpm.Unit,D65,
 _xlpm.DataRng,$C$4:C65,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_xlpm.Strip(_xlpm.Level1)&amp;"|"&amp;_xlpm.Strip(_xlpm.Level2)&amp;"|"&amp;_xlpm.Strip(_xlpm.Level3)&amp;"|"&amp;_xlpm.Hash(_xlpm.Item&amp;"@"&amp;_xlpm.Unit&amp;E65)
)</f>
      </c>
      <c r="B65" s="38" t="s">
        <v>276</v>
      </c>
      <c r="C65" s="38" t="s">
        <v>277</v>
      </c>
      <c r="D65" s="34" t="s">
        <v>272</v>
      </c>
      <c r="E65" s="37">
        <v>1323.6255000000001</v>
      </c>
      <c r="F65" s="34"/>
      <c r="G65" s="37">
        <f t="shared" si="18"/>
      </c>
      <c r="H65" s="37">
        <f t="shared" si="18"/>
      </c>
      <c r="I65" s="37">
        <f t="shared" si="18"/>
      </c>
      <c r="J65" s="37"/>
      <c r="K65" s="37">
        <f>J65*$E65</f>
      </c>
      <c r="L65" s="37"/>
      <c r="M65" s="37">
        <f>P65*75%</f>
      </c>
      <c r="N65" s="37"/>
      <c r="O65" s="37"/>
      <c r="P65" s="51"/>
      <c r="Q65" s="37">
        <f>P65*$E65</f>
      </c>
      <c r="R65" s="38" t="s">
        <v>203</v>
      </c>
      <c r="S65" s="38" t="s">
        <v>28</v>
      </c>
      <c r="T65" s="38" t="s">
        <v>29</v>
      </c>
      <c r="U65" s="38" t="s">
        <v>273</v>
      </c>
      <c r="V65" s="38" t="s">
        <v>265</v>
      </c>
      <c r="W65" s="38" t="str" cm="1">
        <f t="array" ref="W65">_xlfn.LET(
    _xlpm.Item,S65,
    _xlpm.Unit,X65,
    _xlpm.Hash,_xlfn.LAMBDA(_xlpm.x,IF(LEN(_xlpm.x)=0,0,SUMPRODUCT(CODE(MID(_xlpm.x,_xlfn.SEQUENCE(LEN(_xlpm.x)),1))*_xlfn.SEQUENCE(LEN(_xlpm.x))))),
    _xlpm.Item&amp;"|"&amp;_xlpm.Hash(_xlpm.Unit)
)</f>
      </c>
      <c r="X65" s="38" t="str">
        <f t="shared" si="8"/>
      </c>
      <c r="Y65" s="37" cm="1">
        <f t="array" ref="Y65">IFERROR(VLOOKUP(W65,UniqueShot!F:AJ,COLUMN(UniqueShot!AI:AI)-COLUMN(UniqueShot!F:F)+1,FALSE),0)</f>
      </c>
      <c r="Z65" s="37">
        <f>Y65*$E65</f>
      </c>
      <c r="AA65" s="37">
        <f>IFERROR(VLOOKUP(W65,UniqueShot!F:M,5,FALSE),0)</f>
      </c>
      <c r="AB65" s="37">
        <f>AA65*$E65</f>
      </c>
      <c r="AC65" s="37"/>
      <c r="AD65" s="37"/>
      <c r="AE65" s="37"/>
      <c r="AF65" s="37"/>
      <c r="AG65" s="37"/>
      <c r="AH65" s="37"/>
      <c r="AI65" s="37">
        <f>AH65*$E65</f>
      </c>
    </row>
    <row r="66" spans="1:35" ht="13.2" customHeight="1" outlineLevel="3">
      <c r="A66" s="26" t="str" cm="1">
        <f t="array" ref="A66">_xlfn.LET(
 _xlpm.Item,C66,
 _xlpm.Unit,D66,
 _xlpm.DataRng,$C$4:C66,
 _xlpm.Level1,IFERROR(LOOKUP(2,1/ISNUMBER(FIND("【",_xlpm.DataRng)),_xlpm.DataRng),""),
 _xlpm.Level2,IFERROR(LOOKUP(2,1/ISNUMBER(FIND("《",_xlpm.DataRng)),_xlpm.DataRng),""),
 _xlpm.Level3,IFERROR(LOOKUP(2,1/ISNUMBER(FIND("{",_xlpm.DataRng)),_xlpm.DataRng),""),
 _xlpm.Strip,_xlfn.LAMBDA(_xlpm.x,MID(_xlfn.REGEXREPLACE(TRIM(_xlpm.x),"[~*_|]",""),2,9)),
 _xlpm.Hash,_xlfn.LAMBDA(_xlpm.x,IF(LEN(_xlpm.x)=0,0,SUMPRODUCT(CODE(MID(_xlpm.x,_xlfn.SEQUENCE(LEN(_xlpm.x)),1))*_xlfn.SEQUENCE(LEN(_xlpm.x))))),
 _xlpm.Strip(_xlpm.Level1)&amp;"|"&amp;_xlpm.Strip(_xlpm.Level2)&amp;"|"&amp;_xlpm.Strip(_xlpm.Level3)&amp;"|"&amp;_xlpm.Hash(_xlpm.Item&amp;"@"&amp;_xlpm.Unit&amp;E66)
)</f>
      </c>
      <c r="B66" s="38" t="s">
        <v>278</v>
      </c>
      <c r="C66" s="38" t="s">
        <v>100</v>
      </c>
      <c r="D66" s="34" t="s">
        <v>272</v>
      </c>
      <c r="E66" s="37">
        <v>174.34639999999999</v>
      </c>
      <c r="F66" s="34"/>
      <c r="G66" s="37">
        <f t="shared" si="18"/>
      </c>
      <c r="H66" s="37">
        <f t="shared" si="18"/>
      </c>
      <c r="I66" s="37">
        <f t="shared" si="18"/>
      </c>
      <c r="J66" s="37"/>
      <c r="K66" s="37">
        <f>J66*$E66</f>
      </c>
      <c r="L66" s="37"/>
      <c r="M66" s="37">
        <f>P66*75%</f>
      </c>
      <c r="N66" s="37"/>
      <c r="O66" s="37"/>
      <c r="P66" s="51"/>
      <c r="Q66" s="37">
        <f>P66*$E66</f>
      </c>
      <c r="R66" s="38" t="s">
        <v>203</v>
      </c>
      <c r="S66" s="38" t="s">
        <v>28</v>
      </c>
      <c r="T66" s="38" t="s">
        <v>29</v>
      </c>
      <c r="U66" s="38" t="s">
        <v>273</v>
      </c>
      <c r="V66" s="38" t="s">
        <v>268</v>
      </c>
      <c r="W66" s="38" t="str" cm="1">
        <f t="array" ref="W66">_xlfn.LET(
    _xlpm.Item,S66,
    _xlpm.Unit,X66,
    _xlpm.Hash,_xlfn.LAMBDA(_xlpm.x,IF(LEN(_xlpm.x)=0,0,SUMPRODUCT(CODE(MID(_xlpm.x,_xlfn.SEQUENCE(LEN(_xlpm.x)),1))*_xlfn.SEQUENCE(LEN(_xlpm.x))))),
    _xlpm.Item&amp;"|"&amp;_xlpm.Hash(_xlpm.Unit)
)</f>
      </c>
      <c r="X66" s="38" t="str">
        <f t="shared" si="8"/>
      </c>
      <c r="Y66" s="37" cm="1">
        <f t="array" ref="Y66">IFERROR(VLOOKUP(W66,UniqueShot!F:AJ,COLUMN(UniqueShot!AI:AI)-COLUMN(UniqueShot!F:F)+1,FALSE),0)</f>
      </c>
      <c r="Z66" s="37">
        <f>Y66*$E66</f>
      </c>
      <c r="AA66" s="37">
        <f>IFERROR(VLOOKUP(W66,UniqueShot!F:M,5,FALSE),0)</f>
      </c>
      <c r="AB66" s="37">
        <f>AA66*$E66</f>
      </c>
      <c r="AC66" s="37"/>
      <c r="AD66" s="37"/>
      <c r="AE66" s="37"/>
      <c r="AF66" s="37"/>
      <c r="AG66" s="37"/>
      <c r="AH66" s="37"/>
      <c r="AI66" s="37">
        <f>AH66*$E66</f>
      </c>
    </row>
    <row r="67" spans="1:35" ht="12" customHeight="1" outlineLevel="3">
      <c r="A67" s="26"/>
      <c r="B67" s="131"/>
      <c r="C67" s="131" t="s">
        <v>100</v>
      </c>
      <c r="D67" s="132"/>
      <c r="E67" s="133"/>
      <c r="F67" s="132"/>
      <c r="G67" s="134"/>
      <c r="H67" s="134"/>
      <c r="I67" s="134"/>
      <c r="J67" s="134"/>
      <c r="K67" s="134"/>
      <c r="L67" s="134"/>
      <c r="M67" s="134"/>
      <c r="N67" s="134"/>
      <c r="O67" s="134"/>
      <c r="P67" s="134"/>
      <c r="Q67" s="134"/>
      <c r="R67" s="131"/>
      <c r="S67" s="131"/>
      <c r="T67" s="131"/>
      <c r="U67" s="131"/>
      <c r="V67" s="131"/>
      <c r="W67" s="131"/>
      <c r="X67" s="131" t="str">
        <f t="shared" si="8"/>
        <v/>
      </c>
      <c r="Y67" s="134"/>
      <c r="Z67" s="134"/>
      <c r="AA67" s="134"/>
      <c r="AB67" s="134"/>
      <c r="AC67" s="134"/>
      <c r="AD67" s="134"/>
      <c r="AE67" s="134"/>
      <c r="AF67" s="134"/>
      <c r="AG67" s="134"/>
      <c r="AH67" s="134"/>
      <c r="AI67" s="134"/>
    </row>
    <row r="68" spans="1:35" s="25" customFormat="1" ht="12" customHeight="1">
      <c r="A68" s="47"/>
      <c r="B68" s="40"/>
      <c r="C68" s="40" t="s">
        <v>36</v>
      </c>
      <c r="D68" s="39"/>
      <c r="E68" s="40"/>
      <c r="F68" s="39"/>
      <c r="G68" s="49"/>
      <c r="H68" s="49"/>
      <c r="I68" s="49"/>
      <c r="J68" s="49"/>
      <c r="K68" s="48">
        <f>SUBTOTAL(9,K5:K67)</f>
      </c>
      <c r="L68" s="49"/>
      <c r="M68" s="49"/>
      <c r="N68" s="49"/>
      <c r="O68" s="49"/>
      <c r="P68" s="49"/>
      <c r="Q68" s="48">
        <f>SUBTOTAL(9,Q5:Q67)</f>
      </c>
      <c r="R68" s="40"/>
      <c r="S68" s="40"/>
      <c r="T68" s="40"/>
      <c r="U68" s="40"/>
      <c r="V68" s="40"/>
      <c r="W68" s="40"/>
      <c r="X68" s="40"/>
      <c r="Y68" s="48"/>
      <c r="Z68" s="48">
        <f>SUBTOTAL(9,Z5:Z67)</f>
      </c>
      <c r="AA68" s="48"/>
      <c r="AB68" s="48">
        <f>SUBTOTAL(9,AB5:AB67)</f>
      </c>
      <c r="AC68" s="48"/>
      <c r="AD68" s="49"/>
      <c r="AE68" s="50">
        <f>SUMPRODUCT(AE5:AE67,$E$5:$E$67)</f>
      </c>
      <c r="AF68" s="50"/>
      <c r="AG68" s="50"/>
      <c r="AH68" s="49"/>
      <c r="AI68" s="48">
        <f>SUBTOTAL(9,AI5:AI67)</f>
      </c>
    </row>
  </sheetData>
  <phoneticPr fontId="1" type="noConversion"/>
  <pageMargins left="0.7" right="0.7" top="0.75" bottom="0.75" header="0.3" footer="0.3"/>
  <pageSetup orientation="portrait"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E42C9-1141-41A7-8324-97CA69285D0F}">
  <sheetPr>
    <tabColor theme="4" tint="-0.499984740745262"/>
  </sheetPr>
  <dimension ref="A1:J85"/>
  <sheetViews>
    <sheetView zoomScale="70" zoomScaleNormal="70" workbookViewId="0">
      <pane ySplit="3" topLeftCell="A4" activePane="bottomLeft" state="frozen"/>
      <selection activeCell="K47" sqref="K47"/>
      <selection pane="bottomLeft" activeCell="C24" sqref="C24"/>
    </sheetView>
  </sheetViews>
  <sheetFormatPr defaultRowHeight="14.4" outlineLevelRow="1" outlineLevelCol="1"/>
  <cols>
    <col min="1" max="1" width="27.33203125" customWidth="1"/>
    <col min="2" max="2" width="9.109375" customWidth="1"/>
    <col min="3" max="3" width="49" customWidth="1"/>
    <col min="4" max="4" width="23.6640625" style="60" customWidth="1"/>
    <col min="5" max="6" width="23.6640625" customWidth="1" outlineLevel="1"/>
    <col min="7" max="8" width="27.109375" customWidth="1" outlineLevel="1"/>
    <col min="9" max="9" width="22.44140625" customWidth="1" outlineLevel="1"/>
    <col min="10" max="10" width="9" style="64" customWidth="1"/>
  </cols>
  <sheetData>
    <row r="1" spans="1:10" ht="17.399999999999999" customHeight="1" outlineLevel="1">
      <c r="A1" s="135" t="s">
        <v>279</v>
      </c>
    </row>
    <row r="2" spans="1:10" ht="17.399999999999999" customHeight="1" outlineLevel="1">
      <c r="A2" s="135"/>
    </row>
    <row r="3" spans="1:10" ht="16.5" customHeight="1">
      <c r="D3"/>
    </row>
    <row r="4" spans="1:10" s="69" customFormat="1" ht="16.2" customHeight="1">
      <c r="D4"/>
      <c r="E4"/>
      <c r="F4"/>
      <c r="G4"/>
      <c r="J4" s="68"/>
    </row>
    <row r="5" spans="1:10" ht="16.5" customHeight="1">
      <c r="D5"/>
    </row>
    <row r="6" spans="1:10" ht="16.5" customHeight="1">
      <c r="D6"/>
    </row>
    <row r="7" spans="1:10" ht="16.5" customHeight="1">
      <c r="D7"/>
    </row>
    <row r="8" spans="1:10" ht="16.5" customHeight="1">
      <c r="D8"/>
    </row>
    <row r="9" spans="1:10" ht="16.5" customHeight="1">
      <c r="D9"/>
    </row>
    <row r="10" spans="1:10" ht="16.5" customHeight="1">
      <c r="D10"/>
    </row>
    <row r="11" spans="1:10" ht="16.5" customHeight="1">
      <c r="D11"/>
    </row>
    <row r="12" spans="1:10" ht="16.5" customHeight="1">
      <c r="D12"/>
    </row>
    <row r="13" spans="1:10" ht="16.5" customHeight="1">
      <c r="D13"/>
    </row>
    <row r="14" spans="1:10" ht="16.5" customHeight="1">
      <c r="D14"/>
    </row>
    <row r="15" spans="1:10" ht="16.5" customHeight="1">
      <c r="D15"/>
    </row>
    <row r="16" spans="1:10" ht="16.5" customHeight="1">
      <c r="D16"/>
    </row>
    <row r="17" spans="4:4" ht="16.5" customHeight="1">
      <c r="D17"/>
    </row>
    <row r="18" spans="4:4" ht="16.5" customHeight="1">
      <c r="D18"/>
    </row>
    <row r="19" spans="4:4" ht="16.5" customHeight="1">
      <c r="D19"/>
    </row>
    <row r="20" spans="4:4" ht="16.5" customHeight="1">
      <c r="D20"/>
    </row>
    <row r="21" spans="4:4" ht="16.5" customHeight="1">
      <c r="D21"/>
    </row>
    <row r="22" spans="4:4" ht="16.5" customHeight="1"/>
    <row r="23" spans="4:4" ht="16.5" customHeight="1"/>
    <row r="24" spans="4:4" ht="16.5" customHeight="1"/>
    <row r="25" spans="4:4" ht="16.5" customHeight="1"/>
    <row r="26" spans="4:4" ht="16.5" customHeight="1"/>
    <row r="27" spans="4:4" ht="16.5" customHeight="1"/>
    <row r="28" spans="4:4" ht="16.5" customHeight="1"/>
    <row r="29" spans="4:4" ht="16.5" customHeight="1"/>
    <row r="30" spans="4:4" ht="16.5" customHeight="1"/>
    <row r="31" spans="4:4" ht="16.5" customHeight="1"/>
    <row r="32" spans="4:4" ht="16.5" customHeight="1"/>
    <row r="33" spans="1:9" ht="16.5" customHeight="1" outlineLevel="1">
      <c r="A33" s="55"/>
      <c r="B33" s="56"/>
      <c r="C33" s="57"/>
      <c r="D33" s="57"/>
      <c r="E33" s="58"/>
      <c r="F33" s="58"/>
      <c r="G33" s="58"/>
      <c r="H33" s="58"/>
      <c r="I33" s="59"/>
    </row>
    <row r="34" spans="1:9" ht="16.5" customHeight="1" outlineLevel="1">
      <c r="A34" s="15"/>
      <c r="B34" s="22"/>
      <c r="C34" s="16"/>
      <c r="D34" s="16"/>
      <c r="E34" s="18"/>
      <c r="F34" s="18"/>
      <c r="G34" s="18"/>
      <c r="H34" s="18"/>
      <c r="I34" s="19"/>
    </row>
    <row r="35" spans="1:9" ht="16.5" customHeight="1" outlineLevel="1">
      <c r="A35" s="15"/>
      <c r="B35" s="22"/>
      <c r="C35" s="16"/>
      <c r="D35" s="16"/>
      <c r="E35" s="18"/>
      <c r="F35" s="18"/>
      <c r="G35" s="18"/>
      <c r="H35" s="18"/>
      <c r="I35" s="19"/>
    </row>
    <row r="36" spans="1:9" ht="16.5" customHeight="1" outlineLevel="1">
      <c r="A36" s="15"/>
      <c r="B36" s="22"/>
      <c r="C36" s="16"/>
      <c r="D36" s="16"/>
      <c r="E36" s="18"/>
      <c r="F36" s="18"/>
      <c r="G36" s="18"/>
      <c r="H36" s="18"/>
      <c r="I36" s="19"/>
    </row>
    <row r="37" spans="1:9" ht="16.5" customHeight="1" outlineLevel="1">
      <c r="A37" s="15"/>
      <c r="B37" s="22"/>
      <c r="C37" s="16"/>
      <c r="D37" s="16"/>
      <c r="E37" s="18"/>
      <c r="F37" s="18"/>
      <c r="G37" s="18"/>
      <c r="H37" s="18"/>
      <c r="I37" s="19"/>
    </row>
    <row r="38" spans="1:9" ht="16.5" customHeight="1" outlineLevel="1">
      <c r="A38" s="15"/>
      <c r="B38" s="16" t="s">
        <v>11</v>
      </c>
      <c r="C38" s="17" t="s">
        <v>12</v>
      </c>
      <c r="D38" s="16"/>
      <c r="E38" s="18"/>
      <c r="F38" s="18"/>
      <c r="G38" s="18"/>
      <c r="H38" s="18"/>
      <c r="I38" s="65" t="e">
        <f>CombineBQ!#REF!</f>
        <v>#REF!</v>
      </c>
    </row>
    <row r="39" spans="1:9" ht="16.5" customHeight="1" outlineLevel="1">
      <c r="A39" s="15"/>
      <c r="B39" s="22"/>
      <c r="C39" s="16"/>
      <c r="D39" s="16"/>
      <c r="E39" s="18"/>
      <c r="F39" s="18"/>
      <c r="G39" s="18"/>
      <c r="H39" s="18"/>
      <c r="I39" s="19"/>
    </row>
    <row r="40" spans="1:9" ht="16.5" customHeight="1" outlineLevel="1">
      <c r="A40" s="15"/>
      <c r="B40" s="22"/>
      <c r="C40" s="16"/>
      <c r="D40" s="16"/>
      <c r="E40" s="18"/>
      <c r="F40" s="18"/>
      <c r="G40" s="18"/>
      <c r="H40" s="18"/>
      <c r="I40" s="19"/>
    </row>
    <row r="41" spans="1:9" ht="16.5" customHeight="1" outlineLevel="1">
      <c r="A41" s="15"/>
      <c r="B41" s="22">
        <v>100</v>
      </c>
      <c r="C41" s="16" t="s">
        <v>102</v>
      </c>
      <c r="D41" s="61">
        <f t="shared" ref="D41:D56" si="0">E41</f>
        <v>14083500</v>
      </c>
      <c r="E41" s="18">
        <v>14083500</v>
      </c>
      <c r="F41" s="18"/>
      <c r="G41" s="18"/>
      <c r="H41" s="18"/>
      <c r="I41" s="19"/>
    </row>
    <row r="42" spans="1:9" ht="16.5" customHeight="1" outlineLevel="1">
      <c r="A42" s="15"/>
      <c r="B42" s="22"/>
      <c r="C42" s="16" t="s">
        <v>103</v>
      </c>
      <c r="D42" s="61">
        <f t="shared" si="0"/>
        <v>3511200</v>
      </c>
      <c r="E42" s="18">
        <v>3511200</v>
      </c>
      <c r="F42" s="18"/>
      <c r="G42" s="18"/>
      <c r="H42" s="18"/>
      <c r="I42" s="19"/>
    </row>
    <row r="43" spans="1:9" ht="16.5" customHeight="1" outlineLevel="1">
      <c r="A43" s="15"/>
      <c r="B43" s="22"/>
      <c r="C43" s="16" t="s">
        <v>104</v>
      </c>
      <c r="D43" s="61">
        <f t="shared" si="0"/>
        <v>508750</v>
      </c>
      <c r="E43" s="18">
        <v>508750</v>
      </c>
      <c r="F43" s="18"/>
      <c r="G43" s="18"/>
      <c r="H43" s="18"/>
      <c r="I43" s="19"/>
    </row>
    <row r="44" spans="1:9" ht="16.5" customHeight="1" outlineLevel="1">
      <c r="A44" s="15"/>
      <c r="B44" s="22"/>
      <c r="C44" s="16" t="s">
        <v>105</v>
      </c>
      <c r="D44" s="61">
        <f t="shared" si="0"/>
        <v>3357024</v>
      </c>
      <c r="E44" s="18">
        <v>3357024</v>
      </c>
      <c r="F44" s="18"/>
      <c r="G44" s="18"/>
      <c r="H44" s="18"/>
      <c r="I44" s="19"/>
    </row>
    <row r="45" spans="1:9" ht="16.5" customHeight="1" outlineLevel="1">
      <c r="A45" s="15"/>
      <c r="B45" s="22"/>
      <c r="C45" s="16" t="s">
        <v>106</v>
      </c>
      <c r="D45" s="61">
        <f t="shared" si="0"/>
        <v>2145180</v>
      </c>
      <c r="E45" s="18">
        <v>2145180</v>
      </c>
      <c r="F45" s="18"/>
      <c r="G45" s="18"/>
      <c r="H45" s="18"/>
      <c r="I45" s="19"/>
    </row>
    <row r="46" spans="1:9" ht="16.5" customHeight="1" outlineLevel="1">
      <c r="A46" s="15"/>
      <c r="B46" s="22"/>
      <c r="C46" s="16"/>
      <c r="D46" s="61">
        <f t="shared" si="0"/>
        <v>0</v>
      </c>
      <c r="E46" s="18"/>
      <c r="F46" s="18"/>
      <c r="G46" s="18"/>
      <c r="H46" s="18"/>
      <c r="I46" s="19"/>
    </row>
    <row r="47" spans="1:9" ht="16.5" customHeight="1" outlineLevel="1">
      <c r="A47" s="15"/>
      <c r="B47" s="22">
        <v>200</v>
      </c>
      <c r="C47" s="16" t="s">
        <v>38</v>
      </c>
      <c r="D47" s="61">
        <f t="shared" si="0"/>
        <v>0</v>
      </c>
      <c r="E47" s="18"/>
      <c r="F47" s="18"/>
      <c r="G47" s="18"/>
      <c r="H47" s="18"/>
      <c r="I47" s="19"/>
    </row>
    <row r="48" spans="1:9" ht="16.5" customHeight="1" outlineLevel="1">
      <c r="A48" s="15"/>
      <c r="B48" s="22">
        <v>210</v>
      </c>
      <c r="C48" s="17" t="s">
        <v>39</v>
      </c>
      <c r="D48" s="61">
        <f t="shared" si="0"/>
        <v>10580858.4</v>
      </c>
      <c r="E48" s="18">
        <v>10580858.4</v>
      </c>
      <c r="F48" s="18"/>
      <c r="G48" s="18"/>
      <c r="H48" s="18"/>
      <c r="I48" s="19"/>
    </row>
    <row r="49" spans="1:9" ht="16.5" customHeight="1" outlineLevel="1">
      <c r="A49" s="15"/>
      <c r="B49" s="22">
        <v>220</v>
      </c>
      <c r="C49" s="17" t="s">
        <v>40</v>
      </c>
      <c r="D49" s="61">
        <f t="shared" si="0"/>
        <v>0</v>
      </c>
      <c r="E49" s="18">
        <v>0</v>
      </c>
      <c r="F49" s="18"/>
      <c r="G49" s="18"/>
      <c r="H49" s="18"/>
      <c r="I49" s="19"/>
    </row>
    <row r="50" spans="1:9" ht="16.5" customHeight="1" outlineLevel="1">
      <c r="A50" s="15"/>
      <c r="B50" s="22">
        <v>230</v>
      </c>
      <c r="C50" s="17" t="s">
        <v>41</v>
      </c>
      <c r="D50" s="61">
        <f t="shared" si="0"/>
        <v>5650000</v>
      </c>
      <c r="E50" s="18">
        <v>5650000</v>
      </c>
      <c r="F50" s="18"/>
      <c r="G50" s="18"/>
      <c r="H50" s="18"/>
      <c r="I50" s="19"/>
    </row>
    <row r="51" spans="1:9" ht="16.5" customHeight="1" outlineLevel="1">
      <c r="A51" s="15"/>
      <c r="B51" s="22">
        <v>240</v>
      </c>
      <c r="C51" s="17" t="s">
        <v>42</v>
      </c>
      <c r="D51" s="61">
        <f t="shared" si="0"/>
        <v>8964258.9053252302</v>
      </c>
      <c r="E51" s="18">
        <v>8964258.9053252302</v>
      </c>
      <c r="F51" s="18"/>
      <c r="G51" s="18"/>
      <c r="H51" s="18"/>
      <c r="I51" s="19"/>
    </row>
    <row r="52" spans="1:9" ht="16.5" customHeight="1" outlineLevel="1">
      <c r="A52" s="15"/>
      <c r="B52" s="22">
        <v>250</v>
      </c>
      <c r="C52" s="17" t="s">
        <v>43</v>
      </c>
      <c r="D52" s="61">
        <f t="shared" si="0"/>
        <v>26074500</v>
      </c>
      <c r="E52" s="18">
        <v>26074500</v>
      </c>
      <c r="F52" s="18"/>
      <c r="G52" s="18"/>
      <c r="H52" s="18"/>
      <c r="I52" s="19"/>
    </row>
    <row r="53" spans="1:9" ht="16.5" customHeight="1" outlineLevel="1">
      <c r="A53" s="15"/>
      <c r="B53" s="22">
        <v>260</v>
      </c>
      <c r="C53" s="17" t="s">
        <v>44</v>
      </c>
      <c r="D53" s="61">
        <f t="shared" si="0"/>
        <v>16738000</v>
      </c>
      <c r="E53" s="18">
        <v>16738000</v>
      </c>
      <c r="F53" s="18"/>
      <c r="G53" s="18"/>
      <c r="H53" s="18"/>
      <c r="I53" s="19"/>
    </row>
    <row r="54" spans="1:9" ht="16.5" customHeight="1" outlineLevel="1">
      <c r="A54" s="15"/>
      <c r="B54" s="22">
        <v>270</v>
      </c>
      <c r="C54" s="17" t="s">
        <v>45</v>
      </c>
      <c r="D54" s="61">
        <f t="shared" si="0"/>
        <v>13000000</v>
      </c>
      <c r="E54" s="18">
        <v>13000000</v>
      </c>
      <c r="F54" s="18"/>
      <c r="G54" s="18"/>
      <c r="H54" s="18"/>
      <c r="I54" s="19"/>
    </row>
    <row r="55" spans="1:9" ht="16.5" customHeight="1" outlineLevel="1">
      <c r="A55" s="15"/>
      <c r="B55" s="22"/>
      <c r="C55" s="17"/>
      <c r="D55" s="61">
        <f t="shared" si="0"/>
        <v>0</v>
      </c>
      <c r="E55" s="18"/>
      <c r="F55" s="18"/>
      <c r="G55" s="18"/>
      <c r="H55" s="18"/>
      <c r="I55" s="19"/>
    </row>
    <row r="56" spans="1:9" ht="16.5" customHeight="1" outlineLevel="1">
      <c r="A56" s="15"/>
      <c r="B56" s="22">
        <v>300</v>
      </c>
      <c r="C56" s="16" t="s">
        <v>46</v>
      </c>
      <c r="D56" s="61">
        <f t="shared" si="0"/>
        <v>0</v>
      </c>
      <c r="E56" s="18"/>
      <c r="F56" s="18"/>
      <c r="G56" s="18"/>
      <c r="H56" s="18"/>
      <c r="I56" s="19"/>
    </row>
    <row r="57" spans="1:9" ht="16.5" customHeight="1" outlineLevel="1">
      <c r="A57" s="15"/>
      <c r="B57" s="22">
        <v>310</v>
      </c>
      <c r="C57" s="17" t="s">
        <v>47</v>
      </c>
      <c r="D57" s="61"/>
      <c r="E57" s="18">
        <v>2800000</v>
      </c>
      <c r="F57" s="18"/>
      <c r="G57" s="18"/>
      <c r="H57" s="18"/>
      <c r="I57" s="19"/>
    </row>
    <row r="58" spans="1:9" ht="16.5" customHeight="1" outlineLevel="1">
      <c r="A58" s="15"/>
      <c r="B58" s="22">
        <v>320</v>
      </c>
      <c r="C58" s="17" t="s">
        <v>48</v>
      </c>
      <c r="D58" s="61"/>
      <c r="E58" s="18">
        <v>330000</v>
      </c>
      <c r="F58" s="18"/>
      <c r="G58" s="18"/>
      <c r="H58" s="18"/>
      <c r="I58" s="19"/>
    </row>
    <row r="59" spans="1:9" ht="16.5" customHeight="1" outlineLevel="1">
      <c r="A59" s="15"/>
      <c r="B59" s="22">
        <v>330</v>
      </c>
      <c r="C59" s="17" t="s">
        <v>49</v>
      </c>
      <c r="D59" s="61">
        <f t="shared" ref="D59:D66" si="1">E59</f>
        <v>3550000</v>
      </c>
      <c r="E59" s="18">
        <v>3550000</v>
      </c>
      <c r="F59" s="18"/>
      <c r="G59" s="18"/>
      <c r="H59" s="18"/>
      <c r="I59" s="19"/>
    </row>
    <row r="60" spans="1:9" ht="16.5" customHeight="1" outlineLevel="1">
      <c r="A60" s="15"/>
      <c r="B60" s="22">
        <v>340</v>
      </c>
      <c r="C60" s="17" t="s">
        <v>50</v>
      </c>
      <c r="D60" s="61">
        <f t="shared" si="1"/>
        <v>14205534.585162001</v>
      </c>
      <c r="E60" s="18">
        <v>14205534.585162001</v>
      </c>
      <c r="F60" s="18"/>
      <c r="G60" s="18"/>
      <c r="H60" s="18"/>
      <c r="I60" s="19"/>
    </row>
    <row r="61" spans="1:9" ht="16.5" customHeight="1" outlineLevel="1">
      <c r="A61" s="15"/>
      <c r="B61" s="22">
        <v>350</v>
      </c>
      <c r="C61" s="17" t="s">
        <v>51</v>
      </c>
      <c r="D61" s="61">
        <f t="shared" si="1"/>
        <v>0</v>
      </c>
      <c r="E61" s="18">
        <v>0</v>
      </c>
      <c r="F61" s="18"/>
      <c r="G61" s="18"/>
      <c r="H61" s="18"/>
      <c r="I61" s="19"/>
    </row>
    <row r="62" spans="1:9" ht="16.5" customHeight="1" outlineLevel="1">
      <c r="A62" s="15"/>
      <c r="B62" s="22">
        <v>360</v>
      </c>
      <c r="C62" s="17" t="s">
        <v>45</v>
      </c>
      <c r="D62" s="61">
        <f t="shared" si="1"/>
        <v>5305600</v>
      </c>
      <c r="E62" s="18">
        <v>5305600</v>
      </c>
      <c r="F62" s="18"/>
      <c r="G62" s="18"/>
      <c r="H62" s="18"/>
      <c r="I62" s="19"/>
    </row>
    <row r="63" spans="1:9" ht="16.5" customHeight="1" outlineLevel="1">
      <c r="A63" s="15"/>
      <c r="B63" s="22"/>
      <c r="C63" s="17"/>
      <c r="D63" s="61">
        <f t="shared" si="1"/>
        <v>0</v>
      </c>
      <c r="E63" s="18"/>
      <c r="F63" s="18"/>
      <c r="G63" s="18"/>
      <c r="H63" s="18"/>
      <c r="I63" s="19"/>
    </row>
    <row r="64" spans="1:9" ht="16.5" customHeight="1" outlineLevel="1">
      <c r="A64" s="15"/>
      <c r="B64" s="22"/>
      <c r="C64" s="17"/>
      <c r="D64" s="61">
        <f t="shared" si="1"/>
        <v>0</v>
      </c>
      <c r="E64" s="18"/>
      <c r="F64" s="18"/>
      <c r="G64" s="18"/>
      <c r="H64" s="18"/>
      <c r="I64" s="19"/>
    </row>
    <row r="65" spans="1:9" ht="16.5" customHeight="1" outlineLevel="1">
      <c r="A65" s="15"/>
      <c r="B65" s="22">
        <v>400</v>
      </c>
      <c r="C65" s="16" t="s">
        <v>52</v>
      </c>
      <c r="D65" s="61">
        <f t="shared" si="1"/>
        <v>0</v>
      </c>
      <c r="E65" s="18"/>
      <c r="F65" s="18"/>
      <c r="G65" s="18"/>
      <c r="H65" s="18"/>
      <c r="I65" s="19"/>
    </row>
    <row r="66" spans="1:9" ht="16.5" customHeight="1" outlineLevel="1">
      <c r="A66" s="15"/>
      <c r="B66" s="22">
        <v>410</v>
      </c>
      <c r="C66" s="17" t="s">
        <v>53</v>
      </c>
      <c r="D66" s="61">
        <f t="shared" si="1"/>
        <v>67574472.643999994</v>
      </c>
      <c r="E66" s="18">
        <v>67574472.643999994</v>
      </c>
      <c r="F66" s="18"/>
      <c r="G66" s="18"/>
      <c r="H66" s="18"/>
      <c r="I66" s="19"/>
    </row>
    <row r="67" spans="1:9" ht="16.5" customHeight="1" outlineLevel="1">
      <c r="A67" s="15"/>
      <c r="B67" s="22">
        <v>420</v>
      </c>
      <c r="C67" s="17" t="s">
        <v>54</v>
      </c>
      <c r="D67" s="16"/>
      <c r="E67" s="18"/>
      <c r="F67" s="18"/>
      <c r="G67" s="18"/>
      <c r="H67" s="18"/>
      <c r="I67" s="19"/>
    </row>
    <row r="68" spans="1:9" ht="16.5" customHeight="1" outlineLevel="1">
      <c r="A68" s="15"/>
      <c r="B68" s="22">
        <v>430</v>
      </c>
      <c r="C68" s="17" t="s">
        <v>55</v>
      </c>
      <c r="D68" s="16"/>
      <c r="E68" s="18"/>
      <c r="F68" s="18">
        <v>0</v>
      </c>
      <c r="G68" s="18"/>
      <c r="H68" s="18"/>
      <c r="I68" s="19"/>
    </row>
    <row r="69" spans="1:9" ht="16.5" customHeight="1" outlineLevel="1">
      <c r="A69" s="15"/>
      <c r="B69" s="22">
        <v>440</v>
      </c>
      <c r="C69" s="17" t="s">
        <v>56</v>
      </c>
      <c r="D69" s="16"/>
      <c r="E69" s="18"/>
      <c r="F69" s="18">
        <v>0</v>
      </c>
      <c r="G69" s="18"/>
      <c r="H69" s="18"/>
      <c r="I69" s="19"/>
    </row>
    <row r="70" spans="1:9" ht="16.5" customHeight="1" outlineLevel="1">
      <c r="A70" s="15"/>
      <c r="B70" s="22">
        <v>450</v>
      </c>
      <c r="C70" s="17" t="s">
        <v>57</v>
      </c>
      <c r="D70" s="16"/>
      <c r="E70" s="18"/>
      <c r="F70" s="18">
        <v>0</v>
      </c>
      <c r="G70" s="18"/>
      <c r="H70" s="18"/>
      <c r="I70" s="19"/>
    </row>
    <row r="71" spans="1:9" ht="16.5" customHeight="1" outlineLevel="1">
      <c r="A71" s="15"/>
      <c r="B71" s="22">
        <v>460</v>
      </c>
      <c r="C71" s="17" t="s">
        <v>58</v>
      </c>
      <c r="D71" s="16"/>
      <c r="E71" s="18"/>
      <c r="F71" s="18">
        <v>0</v>
      </c>
      <c r="G71" s="18"/>
      <c r="H71" s="18"/>
      <c r="I71" s="19"/>
    </row>
    <row r="72" spans="1:9" ht="16.5" customHeight="1" outlineLevel="1">
      <c r="A72" s="15"/>
      <c r="B72" s="22">
        <v>470</v>
      </c>
      <c r="C72" s="17" t="s">
        <v>59</v>
      </c>
      <c r="D72" s="16"/>
      <c r="E72" s="18"/>
      <c r="F72" s="18">
        <v>0</v>
      </c>
      <c r="G72" s="18"/>
      <c r="H72" s="18"/>
      <c r="I72" s="19"/>
    </row>
    <row r="73" spans="1:9" ht="16.5" customHeight="1" outlineLevel="1">
      <c r="A73" s="15"/>
      <c r="B73" s="22"/>
      <c r="C73" s="17"/>
      <c r="D73" s="16"/>
      <c r="E73" s="18"/>
      <c r="F73" s="18"/>
      <c r="G73" s="18"/>
      <c r="H73" s="18"/>
      <c r="I73" s="19"/>
    </row>
    <row r="74" spans="1:9" ht="16.5" customHeight="1">
      <c r="A74" s="15"/>
      <c r="B74" s="16"/>
      <c r="C74" s="17"/>
      <c r="D74" s="16"/>
      <c r="E74" s="18"/>
      <c r="F74" s="18"/>
      <c r="G74" s="18"/>
      <c r="H74" s="18"/>
      <c r="I74" s="19"/>
    </row>
    <row r="75" spans="1:9" ht="16.2" customHeight="1">
      <c r="A75" s="15"/>
      <c r="B75" s="22"/>
      <c r="C75" s="17"/>
      <c r="D75" s="16"/>
      <c r="E75" s="18"/>
      <c r="F75" s="18"/>
      <c r="G75" s="18"/>
      <c r="H75" s="18"/>
      <c r="I75" s="19"/>
    </row>
    <row r="76" spans="1:9" ht="16.95" customHeight="1" thickBot="1">
      <c r="A76" s="20" t="s">
        <v>60</v>
      </c>
      <c r="B76" s="24"/>
      <c r="C76" s="24"/>
      <c r="D76" s="21">
        <f>SUM(D36:D72)</f>
        <v>195248878.53448722</v>
      </c>
      <c r="E76" s="21">
        <f>SUM(E36:E72)</f>
        <v>198378878.53448722</v>
      </c>
      <c r="F76" s="21">
        <f>SUM(F48:F72)</f>
        <v>0</v>
      </c>
      <c r="G76" s="21">
        <v>0</v>
      </c>
      <c r="H76" s="21"/>
      <c r="I76" s="21"/>
    </row>
    <row r="77" spans="1:9" ht="16.2" customHeight="1">
      <c r="A77" s="15"/>
      <c r="B77" s="22"/>
      <c r="C77" s="17"/>
      <c r="D77" s="16"/>
      <c r="E77" s="18"/>
      <c r="F77" s="18"/>
      <c r="G77" s="18"/>
      <c r="H77" s="18"/>
      <c r="I77" s="19"/>
    </row>
    <row r="78" spans="1:9" ht="16.2" customHeight="1">
      <c r="A78" s="15"/>
      <c r="B78" s="22"/>
      <c r="C78" s="17"/>
      <c r="D78" s="16"/>
      <c r="E78" s="18"/>
      <c r="F78" s="18"/>
      <c r="G78" s="18"/>
      <c r="H78" s="18"/>
      <c r="I78" s="19"/>
    </row>
    <row r="79" spans="1:9" ht="16.95" customHeight="1" thickBot="1">
      <c r="A79" s="20" t="s">
        <v>281</v>
      </c>
      <c r="B79" s="24"/>
      <c r="C79" s="24"/>
      <c r="D79" s="21"/>
      <c r="E79" s="21"/>
      <c r="F79" s="21"/>
      <c r="G79" s="21"/>
      <c r="H79" s="21"/>
      <c r="I79" s="21"/>
    </row>
    <row r="80" spans="1:9" ht="16.2" customHeight="1">
      <c r="A80" s="15"/>
      <c r="B80" s="22"/>
      <c r="C80" s="17"/>
      <c r="D80" s="16"/>
      <c r="E80" s="18"/>
      <c r="F80" s="18"/>
      <c r="G80" s="18"/>
      <c r="H80" s="18"/>
      <c r="I80" s="19"/>
    </row>
    <row r="81" spans="1:9" ht="16.2" customHeight="1">
      <c r="A81" s="15"/>
      <c r="B81" s="22"/>
      <c r="C81" s="17"/>
      <c r="D81" s="16"/>
      <c r="E81" s="18"/>
      <c r="F81" s="18"/>
      <c r="G81" s="18"/>
      <c r="H81" s="18"/>
      <c r="I81" s="19"/>
    </row>
    <row r="82" spans="1:9" ht="16.95" customHeight="1" thickBot="1">
      <c r="A82" s="20" t="s">
        <v>108</v>
      </c>
      <c r="B82" s="24"/>
      <c r="C82" s="24"/>
      <c r="D82" s="21"/>
      <c r="E82" s="21" t="e">
        <f>SUM(E76,GETPIVOTDATA("求和项:二航三
Amount",$A$3))</f>
        <v>#REF!</v>
      </c>
      <c r="F82" s="21">
        <f>SUM(F76,G39)</f>
        <v>0</v>
      </c>
      <c r="G82" s="21">
        <f>SUM(G76,H39)</f>
        <v>0</v>
      </c>
      <c r="H82" s="21">
        <f>SUM(H76,I39)</f>
        <v>0</v>
      </c>
      <c r="I82" s="21"/>
    </row>
    <row r="83" spans="1:9">
      <c r="B83" s="23"/>
    </row>
    <row r="84" spans="1:9">
      <c r="C84" s="63"/>
      <c r="D84" s="62"/>
    </row>
    <row r="85" spans="1:9">
      <c r="D85" s="62"/>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659B-C6BD-41F6-9A87-A08DFADE27C6}">
  <sheetPr>
    <tabColor theme="4" tint="-0.499984740745262"/>
  </sheetPr>
  <dimension ref="A1:L313"/>
  <sheetViews>
    <sheetView zoomScale="70" zoomScaleNormal="70" workbookViewId="0">
      <pane ySplit="3" topLeftCell="A4" activePane="bottomLeft" state="frozen"/>
      <selection activeCell="K47" sqref="K47"/>
      <selection pane="bottomLeft" activeCell="D34" sqref="D34"/>
    </sheetView>
  </sheetViews>
  <sheetFormatPr defaultRowHeight="14.4"/>
  <cols>
    <col min="1" max="1" width="24.77734375" bestFit="1" customWidth="1"/>
    <col min="2" max="2" width="10.6640625" customWidth="1"/>
    <col min="3" max="3" width="35" customWidth="1"/>
    <col min="4" max="4" width="50.88671875" customWidth="1"/>
    <col min="5" max="5" width="5.44140625" customWidth="1"/>
    <col min="6" max="6" width="13.33203125" customWidth="1"/>
    <col min="7" max="7" width="12" customWidth="1"/>
    <col min="8" max="8" width="6.33203125" bestFit="1" customWidth="1"/>
    <col min="9" max="9" width="21.44140625" customWidth="1"/>
    <col min="10" max="10" width="18" customWidth="1"/>
    <col min="11" max="11" width="6.33203125" style="10" bestFit="1" customWidth="1"/>
    <col min="12" max="14" width="18" customWidth="1"/>
  </cols>
  <sheetData>
    <row r="1" spans="1:12" ht="15.6" customHeight="1">
      <c r="A1" s="135" t="s">
        <v>92</v>
      </c>
      <c r="B1" s="136"/>
      <c r="C1" s="136"/>
      <c r="D1" s="136"/>
      <c r="E1" s="136"/>
      <c r="F1" s="136"/>
      <c r="G1" s="136"/>
      <c r="H1" s="136"/>
    </row>
    <row r="2" spans="1:12" ht="16.5" customHeight="1"/>
    <row r="3" spans="1:12" ht="15" customHeight="1">
      <c r="A3" s="12" t="s">
        <v>5</v>
      </c>
      <c r="B3" s="13" t="s">
        <v>6</v>
      </c>
      <c r="C3" s="12" t="s">
        <v>7</v>
      </c>
      <c r="D3" s="12" t="s">
        <v>8</v>
      </c>
      <c r="E3" s="14" t="s">
        <v>2</v>
      </c>
      <c r="F3" s="137" t="s">
        <v>358</v>
      </c>
      <c r="H3" s="82" t="s">
        <v>112</v>
      </c>
      <c r="I3" s="82" t="s">
        <v>113</v>
      </c>
      <c r="J3" s="82"/>
      <c r="K3" s="138" t="s">
        <v>114</v>
      </c>
      <c r="L3" s="139" t="s">
        <v>115</v>
      </c>
    </row>
    <row r="4" spans="1:12" s="8" customFormat="1" ht="15.6">
      <c r="G4"/>
      <c r="H4" s="70"/>
      <c r="I4" s="71"/>
      <c r="J4" s="79"/>
      <c r="K4" s="70"/>
      <c r="L4" s="72"/>
    </row>
    <row r="5" spans="1:12" ht="16.5" customHeight="1">
      <c r="H5" s="70"/>
      <c r="I5" s="71"/>
      <c r="J5" s="79"/>
      <c r="K5" s="70"/>
      <c r="L5" s="71"/>
    </row>
    <row r="6" spans="1:12" ht="16.5" customHeight="1">
      <c r="H6" s="70"/>
      <c r="I6" s="71"/>
      <c r="J6" s="79"/>
      <c r="K6" s="70"/>
      <c r="L6" s="72"/>
    </row>
    <row r="7" spans="1:12" ht="16.5" customHeight="1">
      <c r="H7" s="73" t="s">
        <v>116</v>
      </c>
      <c r="I7" s="74" t="s">
        <v>117</v>
      </c>
      <c r="J7" s="80"/>
      <c r="K7" s="73" t="s">
        <v>90</v>
      </c>
      <c r="L7" s="75"/>
    </row>
    <row r="8" spans="1:12" ht="16.5" customHeight="1">
      <c r="H8" s="76"/>
      <c r="I8" s="77" t="s">
        <v>118</v>
      </c>
      <c r="J8" s="81"/>
      <c r="K8" s="76" t="s">
        <v>90</v>
      </c>
      <c r="L8" s="78"/>
    </row>
    <row r="9" spans="1:12" ht="16.5" customHeight="1">
      <c r="H9" s="76"/>
      <c r="I9" s="77" t="s">
        <v>119</v>
      </c>
      <c r="J9" s="81"/>
      <c r="K9" s="76" t="s">
        <v>90</v>
      </c>
      <c r="L9" s="78"/>
    </row>
    <row r="10" spans="1:12" ht="16.5" customHeight="1">
      <c r="H10" s="76"/>
      <c r="I10" s="77" t="s">
        <v>120</v>
      </c>
      <c r="J10" s="81"/>
      <c r="K10" s="76" t="s">
        <v>20</v>
      </c>
      <c r="L10" s="78"/>
    </row>
    <row r="11" spans="1:12" ht="16.5" customHeight="1">
      <c r="H11" s="76"/>
      <c r="I11" s="77"/>
      <c r="J11" s="81"/>
      <c r="K11" s="76"/>
      <c r="L11" s="78"/>
    </row>
    <row r="12" spans="1:12" ht="16.5" customHeight="1">
      <c r="H12" s="73" t="s">
        <v>121</v>
      </c>
      <c r="I12" s="74" t="s">
        <v>122</v>
      </c>
      <c r="J12" s="80"/>
      <c r="K12" s="73" t="s">
        <v>25</v>
      </c>
      <c r="L12" s="78"/>
    </row>
    <row r="13" spans="1:12" ht="16.5" customHeight="1">
      <c r="H13" s="76"/>
      <c r="I13" s="77" t="s">
        <v>123</v>
      </c>
      <c r="J13" s="81"/>
      <c r="K13" s="76" t="s">
        <v>25</v>
      </c>
      <c r="L13" s="78"/>
    </row>
    <row r="14" spans="1:12" ht="16.5" customHeight="1">
      <c r="H14" s="76"/>
      <c r="I14" s="77" t="s">
        <v>124</v>
      </c>
      <c r="J14" s="81"/>
      <c r="K14" s="76" t="s">
        <v>25</v>
      </c>
      <c r="L14" s="78"/>
    </row>
    <row r="15" spans="1:12" ht="16.5" customHeight="1">
      <c r="H15" s="76"/>
      <c r="I15" s="77" t="s">
        <v>125</v>
      </c>
      <c r="J15" s="81"/>
      <c r="K15" s="76" t="s">
        <v>25</v>
      </c>
      <c r="L15" s="78"/>
    </row>
    <row r="16" spans="1:12" ht="16.5" customHeight="1">
      <c r="H16" s="76"/>
      <c r="I16" s="77" t="s">
        <v>126</v>
      </c>
      <c r="J16" s="81"/>
      <c r="K16" s="76" t="s">
        <v>25</v>
      </c>
      <c r="L16" s="78"/>
    </row>
    <row r="17" spans="8:12" ht="16.5" customHeight="1">
      <c r="H17" s="76"/>
      <c r="I17" s="77" t="s">
        <v>127</v>
      </c>
      <c r="J17" s="81"/>
      <c r="K17" s="76" t="s">
        <v>25</v>
      </c>
      <c r="L17" s="78"/>
    </row>
    <row r="18" spans="8:12" ht="16.5" customHeight="1">
      <c r="H18" s="76"/>
      <c r="I18" s="77" t="s">
        <v>128</v>
      </c>
      <c r="J18" s="81"/>
      <c r="K18" s="76" t="s">
        <v>25</v>
      </c>
      <c r="L18" s="78"/>
    </row>
    <row r="19" spans="8:12" ht="16.5" customHeight="1">
      <c r="H19" s="73" t="s">
        <v>129</v>
      </c>
      <c r="I19" s="74" t="s">
        <v>130</v>
      </c>
      <c r="J19" s="80"/>
      <c r="K19" s="73" t="s">
        <v>20</v>
      </c>
      <c r="L19" s="78"/>
    </row>
    <row r="20" spans="8:12" ht="16.5" customHeight="1">
      <c r="H20" s="76"/>
      <c r="I20" s="77"/>
      <c r="J20" s="81"/>
      <c r="K20" s="76"/>
      <c r="L20" s="78"/>
    </row>
    <row r="21" spans="8:12" ht="16.5" customHeight="1">
      <c r="H21" s="73" t="s">
        <v>131</v>
      </c>
      <c r="I21" s="74" t="s">
        <v>132</v>
      </c>
      <c r="J21" s="81"/>
      <c r="K21" s="76"/>
      <c r="L21" s="78"/>
    </row>
    <row r="22" spans="8:12" ht="16.5" customHeight="1">
      <c r="H22" s="76"/>
      <c r="I22" s="77" t="s">
        <v>133</v>
      </c>
      <c r="J22" s="81"/>
      <c r="K22" s="76" t="s">
        <v>107</v>
      </c>
      <c r="L22" s="78"/>
    </row>
    <row r="23" spans="8:12" ht="16.5" customHeight="1">
      <c r="H23" s="76"/>
      <c r="I23" s="77" t="s">
        <v>134</v>
      </c>
      <c r="J23" s="81"/>
      <c r="K23" s="76" t="s">
        <v>135</v>
      </c>
      <c r="L23" s="78"/>
    </row>
    <row r="24" spans="8:12" ht="16.5" customHeight="1">
      <c r="H24" s="76"/>
      <c r="I24" s="77"/>
      <c r="J24" s="81"/>
      <c r="K24" s="76"/>
      <c r="L24" s="78"/>
    </row>
    <row r="25" spans="8:12" ht="16.5" customHeight="1">
      <c r="H25" s="73" t="s">
        <v>136</v>
      </c>
      <c r="I25" s="74" t="s">
        <v>137</v>
      </c>
      <c r="J25" s="81"/>
      <c r="K25" s="76"/>
      <c r="L25" s="78"/>
    </row>
    <row r="26" spans="8:12" ht="16.5" customHeight="1">
      <c r="H26" s="70"/>
      <c r="I26" s="71" t="s">
        <v>138</v>
      </c>
      <c r="J26" s="79"/>
      <c r="K26" s="70" t="s">
        <v>25</v>
      </c>
      <c r="L26" s="78"/>
    </row>
    <row r="27" spans="8:12" ht="16.5" customHeight="1">
      <c r="H27" s="70"/>
      <c r="I27" s="71" t="s">
        <v>139</v>
      </c>
      <c r="J27" s="79"/>
      <c r="K27" s="70" t="s">
        <v>25</v>
      </c>
      <c r="L27" s="78"/>
    </row>
    <row r="28" spans="8:12" ht="16.5" customHeight="1">
      <c r="H28" s="70"/>
      <c r="I28" s="71" t="s">
        <v>140</v>
      </c>
      <c r="J28" s="79"/>
      <c r="K28" s="70" t="s">
        <v>20</v>
      </c>
      <c r="L28" s="78"/>
    </row>
    <row r="29" spans="8:12" ht="16.5" customHeight="1">
      <c r="H29" s="70"/>
      <c r="I29" s="71"/>
      <c r="J29" s="79"/>
      <c r="K29" s="70"/>
      <c r="L29" s="78"/>
    </row>
    <row r="30" spans="8:12" ht="16.5" customHeight="1">
      <c r="H30" s="70"/>
      <c r="I30" s="71"/>
      <c r="J30" s="79"/>
      <c r="K30" s="70"/>
      <c r="L30" s="78"/>
    </row>
    <row r="31" spans="8:12" ht="16.5" customHeight="1">
      <c r="H31" s="140" t="s">
        <v>141</v>
      </c>
      <c r="I31" s="141" t="s">
        <v>283</v>
      </c>
      <c r="J31" s="79"/>
      <c r="K31" s="70"/>
      <c r="L31" s="78"/>
    </row>
    <row r="32" spans="8:12" ht="16.5" customHeight="1">
      <c r="H32" s="70"/>
      <c r="I32" s="71" t="s">
        <v>142</v>
      </c>
      <c r="J32" s="79"/>
      <c r="K32" s="70" t="s">
        <v>20</v>
      </c>
      <c r="L32" s="78"/>
    </row>
    <row r="33" spans="8:12" ht="16.5" customHeight="1">
      <c r="H33" s="70"/>
      <c r="I33" s="71" t="s">
        <v>143</v>
      </c>
      <c r="J33" s="79"/>
      <c r="K33" s="70" t="s">
        <v>20</v>
      </c>
      <c r="L33" s="78"/>
    </row>
    <row r="34" spans="8:12" ht="16.5" customHeight="1">
      <c r="H34" s="70"/>
      <c r="I34" s="71" t="s">
        <v>144</v>
      </c>
      <c r="J34" s="79"/>
      <c r="K34" s="70" t="s">
        <v>20</v>
      </c>
      <c r="L34" s="78"/>
    </row>
    <row r="35" spans="8:12" ht="16.5" customHeight="1">
      <c r="H35" s="70"/>
      <c r="I35" s="71" t="s">
        <v>145</v>
      </c>
      <c r="J35" s="79"/>
      <c r="K35" s="70" t="s">
        <v>20</v>
      </c>
      <c r="L35" s="78"/>
    </row>
    <row r="36" spans="8:12" ht="16.5" customHeight="1">
      <c r="H36" s="70"/>
      <c r="I36" s="71" t="s">
        <v>146</v>
      </c>
      <c r="J36" s="79"/>
      <c r="K36" s="70" t="s">
        <v>20</v>
      </c>
      <c r="L36" s="78"/>
    </row>
    <row r="37" spans="8:12" ht="16.5" customHeight="1">
      <c r="H37" s="70"/>
      <c r="I37" s="71"/>
      <c r="J37" s="79"/>
      <c r="K37" s="70"/>
      <c r="L37" s="72"/>
    </row>
    <row r="38" spans="8:12" ht="16.5" customHeight="1">
      <c r="H38" s="70"/>
      <c r="I38" s="71"/>
      <c r="J38" s="79"/>
      <c r="K38" s="70"/>
      <c r="L38" s="72"/>
    </row>
    <row r="39" spans="8:12" ht="16.5" customHeight="1">
      <c r="H39" s="140" t="s">
        <v>147</v>
      </c>
      <c r="I39" s="141" t="s">
        <v>148</v>
      </c>
      <c r="J39" s="79"/>
      <c r="K39" s="70">
        <v>0</v>
      </c>
      <c r="L39" s="72"/>
    </row>
    <row r="40" spans="8:12" ht="16.5" customHeight="1">
      <c r="H40" s="70"/>
      <c r="I40" s="71" t="s">
        <v>149</v>
      </c>
      <c r="J40" s="79"/>
      <c r="K40" s="70" t="s">
        <v>20</v>
      </c>
      <c r="L40" s="72"/>
    </row>
    <row r="41" spans="8:12" ht="16.5" customHeight="1">
      <c r="H41" s="70"/>
      <c r="I41" s="71" t="s">
        <v>150</v>
      </c>
      <c r="J41" s="79"/>
      <c r="K41" s="70" t="s">
        <v>20</v>
      </c>
      <c r="L41" s="72"/>
    </row>
    <row r="42" spans="8:12" ht="16.5" customHeight="1">
      <c r="H42" s="70"/>
      <c r="I42" s="71" t="s">
        <v>151</v>
      </c>
      <c r="J42" s="79"/>
      <c r="K42" s="70" t="s">
        <v>18</v>
      </c>
      <c r="L42" s="72"/>
    </row>
    <row r="43" spans="8:12" ht="16.5" customHeight="1">
      <c r="H43" s="70"/>
      <c r="I43" s="71" t="s">
        <v>152</v>
      </c>
      <c r="J43" s="79"/>
      <c r="K43" s="70" t="s">
        <v>20</v>
      </c>
      <c r="L43" s="72"/>
    </row>
    <row r="44" spans="8:12" ht="16.5" customHeight="1">
      <c r="H44" s="70"/>
      <c r="I44" s="71" t="s">
        <v>153</v>
      </c>
      <c r="J44" s="79"/>
      <c r="K44" s="70" t="s">
        <v>20</v>
      </c>
      <c r="L44" s="72"/>
    </row>
    <row r="45" spans="8:12" ht="16.5" customHeight="1">
      <c r="H45" s="70"/>
      <c r="I45" s="71"/>
      <c r="J45" s="79"/>
      <c r="K45" s="70"/>
      <c r="L45" s="72"/>
    </row>
    <row r="46" spans="8:12" ht="16.5" customHeight="1">
      <c r="H46" s="140" t="s">
        <v>154</v>
      </c>
      <c r="I46" s="141" t="s">
        <v>155</v>
      </c>
      <c r="J46" s="79"/>
      <c r="K46" s="70" t="s">
        <v>20</v>
      </c>
      <c r="L46" s="72"/>
    </row>
    <row r="47" spans="8:12" ht="16.5" customHeight="1">
      <c r="H47" s="70"/>
      <c r="I47" s="71" t="s">
        <v>156</v>
      </c>
      <c r="J47" s="79"/>
      <c r="K47" s="70" t="s">
        <v>20</v>
      </c>
      <c r="L47" s="72"/>
    </row>
    <row r="48" spans="8:12" ht="16.5" customHeight="1">
      <c r="H48" s="70"/>
      <c r="I48" s="71" t="s">
        <v>157</v>
      </c>
      <c r="J48" s="79"/>
      <c r="K48" s="70" t="s">
        <v>20</v>
      </c>
      <c r="L48" s="72"/>
    </row>
    <row r="49" spans="8:12" ht="16.5" customHeight="1">
      <c r="H49" s="70"/>
      <c r="I49" s="71" t="s">
        <v>158</v>
      </c>
      <c r="J49" s="79"/>
      <c r="K49" s="70" t="s">
        <v>20</v>
      </c>
      <c r="L49" s="72"/>
    </row>
    <row r="50" spans="8:12" ht="16.5" customHeight="1">
      <c r="H50" s="140" t="s">
        <v>159</v>
      </c>
      <c r="I50" s="141" t="s">
        <v>160</v>
      </c>
      <c r="J50" s="79"/>
      <c r="K50" s="70" t="s">
        <v>20</v>
      </c>
      <c r="L50" s="72"/>
    </row>
    <row r="51" spans="8:12" ht="16.5" customHeight="1">
      <c r="H51" s="70"/>
      <c r="I51" s="71" t="s">
        <v>161</v>
      </c>
      <c r="J51" s="79"/>
      <c r="K51" s="70" t="s">
        <v>20</v>
      </c>
      <c r="L51" s="72"/>
    </row>
    <row r="52" spans="8:12" ht="16.5" customHeight="1">
      <c r="H52" s="70"/>
      <c r="I52" s="71" t="s">
        <v>162</v>
      </c>
      <c r="J52" s="79"/>
      <c r="K52" s="70" t="s">
        <v>20</v>
      </c>
      <c r="L52" s="72"/>
    </row>
    <row r="53" spans="8:12" ht="16.5" customHeight="1">
      <c r="H53" s="70"/>
      <c r="I53" s="71" t="s">
        <v>163</v>
      </c>
      <c r="J53" s="79"/>
      <c r="K53" s="70" t="s">
        <v>20</v>
      </c>
      <c r="L53" s="72"/>
    </row>
    <row r="54" spans="8:12" ht="16.5" customHeight="1">
      <c r="H54" s="70"/>
      <c r="I54" s="71" t="s">
        <v>164</v>
      </c>
      <c r="J54" s="79"/>
      <c r="K54" s="70" t="s">
        <v>20</v>
      </c>
      <c r="L54" s="72"/>
    </row>
    <row r="55" spans="8:12" ht="16.5" customHeight="1">
      <c r="H55" s="70" t="s">
        <v>154</v>
      </c>
      <c r="I55" s="71" t="s">
        <v>165</v>
      </c>
      <c r="J55" s="79"/>
      <c r="K55" s="70" t="s">
        <v>20</v>
      </c>
      <c r="L55" s="72"/>
    </row>
    <row r="56" spans="8:12" ht="16.5" customHeight="1">
      <c r="H56" s="70"/>
      <c r="I56" s="71" t="s">
        <v>166</v>
      </c>
      <c r="J56" s="79"/>
      <c r="K56" s="70" t="s">
        <v>20</v>
      </c>
      <c r="L56" s="72"/>
    </row>
    <row r="57" spans="8:12" ht="16.5" customHeight="1">
      <c r="H57" s="70"/>
      <c r="I57" s="71" t="s">
        <v>167</v>
      </c>
      <c r="J57" s="79"/>
      <c r="K57" s="70" t="s">
        <v>20</v>
      </c>
      <c r="L57" s="72"/>
    </row>
    <row r="58" spans="8:12" ht="16.5" customHeight="1">
      <c r="H58" s="70"/>
      <c r="I58" s="71" t="s">
        <v>168</v>
      </c>
      <c r="J58" s="79"/>
      <c r="K58" s="70" t="s">
        <v>20</v>
      </c>
      <c r="L58" s="72"/>
    </row>
    <row r="59" spans="8:12" ht="16.5" customHeight="1">
      <c r="H59" s="140" t="s">
        <v>169</v>
      </c>
      <c r="I59" s="141" t="s">
        <v>170</v>
      </c>
      <c r="J59" s="79"/>
      <c r="K59" s="70" t="s">
        <v>20</v>
      </c>
      <c r="L59" s="72"/>
    </row>
    <row r="60" spans="8:12" ht="16.5" customHeight="1">
      <c r="H60" s="70"/>
      <c r="I60" s="71" t="s">
        <v>171</v>
      </c>
      <c r="J60" s="79"/>
      <c r="K60" s="70" t="s">
        <v>20</v>
      </c>
      <c r="L60" s="72"/>
    </row>
    <row r="61" spans="8:12" ht="16.5" customHeight="1">
      <c r="H61" s="70"/>
      <c r="I61" s="71" t="s">
        <v>172</v>
      </c>
      <c r="J61" s="79"/>
      <c r="K61" s="70" t="s">
        <v>20</v>
      </c>
      <c r="L61" s="72"/>
    </row>
    <row r="62" spans="8:12" ht="16.5" customHeight="1">
      <c r="H62" s="70"/>
      <c r="I62" s="71" t="s">
        <v>173</v>
      </c>
      <c r="J62" s="79"/>
      <c r="K62" s="70" t="s">
        <v>20</v>
      </c>
      <c r="L62" s="72"/>
    </row>
    <row r="63" spans="8:12" ht="16.5" customHeight="1">
      <c r="H63" s="70"/>
      <c r="I63" s="71" t="s">
        <v>174</v>
      </c>
      <c r="J63" s="79"/>
      <c r="K63" s="70" t="s">
        <v>20</v>
      </c>
      <c r="L63" s="72"/>
    </row>
    <row r="64" spans="8:12" ht="16.5" customHeight="1">
      <c r="H64" s="140" t="s">
        <v>169</v>
      </c>
      <c r="I64" s="141" t="s">
        <v>175</v>
      </c>
      <c r="J64" s="79"/>
      <c r="K64" s="70"/>
      <c r="L64" s="72"/>
    </row>
    <row r="65" spans="8:12" ht="16.5" customHeight="1">
      <c r="H65" s="70"/>
      <c r="I65" s="71" t="s">
        <v>176</v>
      </c>
      <c r="J65" s="79"/>
      <c r="K65" s="70" t="s">
        <v>81</v>
      </c>
      <c r="L65" s="72"/>
    </row>
    <row r="66" spans="8:12" ht="16.5" customHeight="1">
      <c r="H66" s="70"/>
      <c r="I66" s="71" t="s">
        <v>177</v>
      </c>
      <c r="J66" s="79"/>
      <c r="K66" s="70" t="s">
        <v>81</v>
      </c>
      <c r="L66" s="72"/>
    </row>
    <row r="67" spans="8:12" ht="16.5" customHeight="1">
      <c r="H67" s="70"/>
      <c r="I67" s="71" t="s">
        <v>178</v>
      </c>
      <c r="J67" s="79"/>
      <c r="K67" s="70" t="s">
        <v>81</v>
      </c>
      <c r="L67" s="72"/>
    </row>
    <row r="68" spans="8:12" ht="16.5" customHeight="1">
      <c r="H68" s="140"/>
      <c r="I68" s="141" t="s">
        <v>179</v>
      </c>
      <c r="J68" s="79"/>
      <c r="K68" s="70"/>
      <c r="L68" s="72"/>
    </row>
    <row r="69" spans="8:12" ht="16.5" customHeight="1">
      <c r="H69" s="70"/>
      <c r="I69" s="71" t="s">
        <v>180</v>
      </c>
      <c r="J69" s="79"/>
      <c r="K69" s="70" t="s">
        <v>20</v>
      </c>
      <c r="L69" s="72"/>
    </row>
    <row r="70" spans="8:12" ht="16.5" customHeight="1">
      <c r="H70" s="70"/>
      <c r="I70" s="71" t="s">
        <v>181</v>
      </c>
      <c r="J70" s="79"/>
      <c r="K70" s="70" t="s">
        <v>18</v>
      </c>
      <c r="L70" s="72"/>
    </row>
    <row r="71" spans="8:12" ht="16.5" customHeight="1">
      <c r="H71" s="70"/>
      <c r="I71" s="71"/>
      <c r="J71" s="79"/>
      <c r="K71" s="70"/>
      <c r="L71" s="72"/>
    </row>
    <row r="72" spans="8:12" ht="16.5" customHeight="1"/>
    <row r="73" spans="8:12" ht="16.5" customHeight="1"/>
    <row r="74" spans="8:12" ht="16.5" customHeight="1"/>
    <row r="75" spans="8:12" ht="16.5" customHeight="1"/>
    <row r="76" spans="8:12" ht="16.5" customHeight="1"/>
    <row r="77" spans="8:12" ht="16.5" customHeight="1"/>
    <row r="78" spans="8:12" ht="16.5" customHeight="1"/>
    <row r="79" spans="8:12" ht="16.5" customHeight="1"/>
    <row r="80" spans="8:12"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0814-42A5-48D2-929E-75FAC92CDCA7}">
  <sheetPr>
    <tabColor theme="4" tint="-0.499984740745262"/>
  </sheetPr>
  <dimension ref="A1:AJ28"/>
  <sheetViews>
    <sheetView zoomScale="55" zoomScaleNormal="55" workbookViewId="0">
      <pane ySplit="4" topLeftCell="A5" activePane="bottomLeft" state="frozen"/>
      <selection activeCell="K47" sqref="K47"/>
      <selection pane="bottomLeft" activeCell="F34" sqref="F34"/>
    </sheetView>
  </sheetViews>
  <sheetFormatPr defaultRowHeight="14.4" outlineLevelCol="1"/>
  <cols>
    <col min="1" max="1" width="21.5546875" customWidth="1"/>
    <col min="2" max="2" width="8.77734375" customWidth="1"/>
    <col min="3" max="3" width="14.77734375" customWidth="1"/>
    <col min="4" max="4" width="24.21875" customWidth="1"/>
    <col min="5" max="5" width="28.109375" customWidth="1"/>
    <col min="6" max="6" width="16.88671875" customWidth="1"/>
    <col min="7" max="7" width="50.6640625" customWidth="1"/>
    <col min="8" max="8" width="9.21875" customWidth="1"/>
    <col min="9" max="9" width="16.6640625" customWidth="1"/>
    <col min="10" max="10" width="3.6640625" customWidth="1"/>
    <col min="11" max="11" width="3.6640625" style="53" customWidth="1"/>
    <col min="12" max="13" width="3.6640625" customWidth="1"/>
    <col min="14" max="14" width="32.5546875" hidden="1" customWidth="1" outlineLevel="1"/>
    <col min="15" max="15" width="6.44140625" hidden="1" customWidth="1" outlineLevel="1"/>
    <col min="16" max="16" width="15.109375" hidden="1" customWidth="1" outlineLevel="1"/>
    <col min="17" max="17" width="13" hidden="1" customWidth="1" outlineLevel="1"/>
    <col min="18" max="18" width="15.33203125" hidden="1" customWidth="1" outlineLevel="1"/>
    <col min="19" max="19" width="9.109375" hidden="1" customWidth="1" outlineLevel="1"/>
    <col min="20" max="20" width="25.33203125" hidden="1" customWidth="1" outlineLevel="1"/>
    <col min="21" max="21" width="15.77734375" hidden="1" customWidth="1" outlineLevel="1"/>
    <col min="22" max="23" width="9.109375" hidden="1" customWidth="1" outlineLevel="1"/>
    <col min="24" max="24" width="11.88671875" hidden="1" customWidth="1" outlineLevel="1"/>
    <col min="25" max="25" width="9.109375" hidden="1" customWidth="1" outlineLevel="1"/>
    <col min="26" max="26" width="10.88671875" hidden="1" customWidth="1" outlineLevel="1"/>
    <col min="27" max="27" width="9" hidden="1" customWidth="1" outlineLevel="1"/>
    <col min="28" max="28" width="7.21875" hidden="1" customWidth="1" outlineLevel="1"/>
    <col min="29" max="29" width="11.6640625" hidden="1" customWidth="1" outlineLevel="1"/>
    <col min="30" max="30" width="4" customWidth="1" collapsed="1"/>
    <col min="31" max="31" width="28.5546875" customWidth="1"/>
    <col min="32" max="32" width="58.21875" customWidth="1"/>
    <col min="35" max="35" width="16" customWidth="1"/>
    <col min="36" max="36" width="28.33203125" customWidth="1"/>
  </cols>
  <sheetData>
    <row r="1" spans="1:36" s="150" customFormat="1" ht="32.1" customHeight="1">
      <c r="A1" s="1" t="s">
        <v>62</v>
      </c>
      <c r="B1" s="142"/>
      <c r="C1" s="142"/>
      <c r="D1" s="142"/>
      <c r="E1" s="142"/>
      <c r="F1" s="143"/>
      <c r="G1" s="144"/>
      <c r="H1" s="145"/>
      <c r="I1" s="144"/>
      <c r="J1" s="144"/>
      <c r="K1" s="146"/>
      <c r="L1" s="142"/>
      <c r="M1" s="142"/>
      <c r="N1" s="147" t="s">
        <v>284</v>
      </c>
      <c r="O1" s="148"/>
      <c r="P1" s="148"/>
      <c r="Q1" s="148"/>
      <c r="R1" s="148"/>
      <c r="S1" s="148"/>
      <c r="T1" s="148"/>
      <c r="U1" s="148"/>
      <c r="V1" s="148"/>
      <c r="W1" s="148"/>
      <c r="X1" s="148"/>
      <c r="Y1" s="148"/>
      <c r="Z1" s="148"/>
      <c r="AA1" s="148"/>
      <c r="AB1" s="148"/>
      <c r="AC1" s="148"/>
      <c r="AD1" s="142"/>
      <c r="AE1" s="1" t="s">
        <v>285</v>
      </c>
      <c r="AF1" s="149"/>
      <c r="AG1" s="149"/>
      <c r="AH1" s="149"/>
      <c r="AI1" s="149"/>
      <c r="AJ1" s="149"/>
    </row>
    <row r="2" spans="1:36" s="151" customFormat="1" ht="16.5" customHeight="1">
      <c r="N2" s="151" t="e">
        <f t="array" ref="N2">VLOOKUP($H3,UniqueShot!$F:$AA,COLUMN(UniqueShot!K:K)-COLUMN(UniqueShot!$F:$F)+1,FALSE)</f>
        <v>#N/A</v>
      </c>
      <c r="O2" s="151" t="e">
        <f t="array" ref="O2">VLOOKUP($H3,UniqueShot!$F:$AA,COLUMN(UniqueShot!L:L)-COLUMN(UniqueShot!$F:$F)+1,FALSE)</f>
        <v>#N/A</v>
      </c>
      <c r="P2" s="151" t="e">
        <f t="array" ref="P2">VLOOKUP($H3,UniqueShot!$F:$AA,COLUMN(UniqueShot!M:M)-COLUMN(UniqueShot!$F:$F)+1,FALSE)</f>
        <v>#N/A</v>
      </c>
      <c r="Q2" s="151" t="e">
        <f t="array" ref="Q2">VLOOKUP($H3,UniqueShot!$F:$AA,COLUMN(UniqueShot!N:N)-COLUMN(UniqueShot!$F:$F)+1,FALSE)</f>
        <v>#N/A</v>
      </c>
      <c r="R2" s="151" t="e">
        <f t="array" ref="R2">VLOOKUP($H3,UniqueShot!$F:$AA,COLUMN(UniqueShot!O:O)-COLUMN(UniqueShot!$F:$F)+1,FALSE)</f>
        <v>#N/A</v>
      </c>
      <c r="S2" s="151" t="e">
        <f t="array" ref="S2">VLOOKUP($H3,UniqueShot!$F:$AA,COLUMN(UniqueShot!P:P)-COLUMN(UniqueShot!$F:$F)+1,FALSE)</f>
        <v>#N/A</v>
      </c>
      <c r="T2" s="151" t="e">
        <f t="array" ref="T2">VLOOKUP($H3,UniqueShot!$F:$AA,COLUMN(UniqueShot!Q:Q)-COLUMN(UniqueShot!$F:$F)+1,FALSE)</f>
        <v>#N/A</v>
      </c>
      <c r="U2" s="151" t="e">
        <f t="array" ref="U2">VLOOKUP($H3,UniqueShot!$F:$AA,COLUMN(UniqueShot!R:R)-COLUMN(UniqueShot!$F:$F)+1,FALSE)</f>
        <v>#N/A</v>
      </c>
      <c r="V2" s="151" t="e">
        <f t="array" ref="V2">VLOOKUP($H3,UniqueShot!$F:$AA,COLUMN(UniqueShot!S:S)-COLUMN(UniqueShot!$F:$F)+1,FALSE)</f>
        <v>#N/A</v>
      </c>
      <c r="W2" s="151" t="e">
        <f t="array" ref="W2">VLOOKUP($H3,UniqueShot!$F:$AA,COLUMN(UniqueShot!U:U)-COLUMN(UniqueShot!$F:$F)+1,FALSE)</f>
        <v>#N/A</v>
      </c>
      <c r="X2" s="151" t="e">
        <f t="array" ref="X2">VLOOKUP($H3,UniqueShot!$F:$AA,COLUMN(UniqueShot!T:T)-COLUMN(UniqueShot!$F:$F)+1,FALSE)</f>
        <v>#N/A</v>
      </c>
      <c r="Y2" s="151" t="e">
        <f t="array" ref="Y2">VLOOKUP($H3,UniqueShot!$F:$AA,COLUMN(UniqueShot!V:V)-COLUMN(UniqueShot!$F:$F)+1,FALSE)</f>
        <v>#N/A</v>
      </c>
      <c r="Z2" s="151" t="e">
        <f t="array" ref="Z2">VLOOKUP($H3,UniqueShot!$F:$AA,COLUMN(UniqueShot!W:W)-COLUMN(UniqueShot!$F:$F)+1,FALSE)</f>
        <v>#N/A</v>
      </c>
      <c r="AA2" s="151" t="e">
        <f t="array" ref="AA2">VLOOKUP($H3,UniqueShot!$F:$AA,COLUMN(UniqueShot!X:X)-COLUMN(UniqueShot!$F:$F)+1,FALSE)</f>
        <v>#N/A</v>
      </c>
      <c r="AB2" s="151" t="e">
        <f t="array" ref="AB2">VLOOKUP($H3,UniqueShot!$F:$AA,COLUMN(UniqueShot!Y:Y)-COLUMN(UniqueShot!$F:$F)+1,FALSE)</f>
        <v>#N/A</v>
      </c>
      <c r="AC2" s="151" t="e">
        <f t="array" ref="AC2">VLOOKUP($H3,UniqueShot!$F:$AA,COLUMN(UniqueShot!AA:AA)-COLUMN(UniqueShot!$F:$F)+1,FALSE)</f>
        <v>#N/A</v>
      </c>
      <c r="AE2" s="151">
        <f>IFERROR(VLOOKUP($F2,UniqueShot!$F:$AH,COLUMN(UniqueShot!AE:AE)-COLUMN(UniqueShot!$F:$F)+1,FALSE),0)</f>
        <v>0</v>
      </c>
      <c r="AF2" s="151">
        <f>IFERROR(VLOOKUP($F2,UniqueShot!$F:$AH,COLUMN(UniqueShot!AF:AF)-COLUMN(UniqueShot!$F:$F)+1,FALSE),0)</f>
        <v>0</v>
      </c>
      <c r="AG2" s="151">
        <f>IFERROR(VLOOKUP($F2,UniqueShot!$F:$AH,COLUMN(UniqueShot!AG:AG)-COLUMN(UniqueShot!$F:$F)+1,FALSE),0)</f>
        <v>0</v>
      </c>
      <c r="AH2" s="151">
        <f>IFERROR(VLOOKUP(F2,UniqueShot!F:AJ,COLUMN(UniqueShot!AH:AH)-COLUMN(UniqueShot!F:F)+1,FALSE),0)</f>
        <v>0</v>
      </c>
      <c r="AI2" s="151">
        <f>IFERROR(VLOOKUP(F2,UniqueShot!F:AJ,COLUMN(UniqueShot!AI:AI)-COLUMN(UniqueShot!F:F)+1,FALSE),0)</f>
        <v>0</v>
      </c>
      <c r="AJ2" s="151">
        <f>IFERROR(VLOOKUP(F2,UniqueShot!F:AJ,COLUMN(UniqueShot!AJ:AJ)-COLUMN(UniqueShot!F:F)+1,FALSE),0)</f>
        <v>0</v>
      </c>
    </row>
    <row r="3" spans="1:36" ht="18" customHeight="1">
      <c r="A3" s="152"/>
      <c r="B3" s="152"/>
      <c r="C3" s="152"/>
      <c r="D3" s="152"/>
      <c r="E3" s="152"/>
      <c r="F3" s="152"/>
      <c r="G3" s="152"/>
      <c r="H3" s="153"/>
      <c r="I3" s="154"/>
      <c r="K3"/>
      <c r="N3" s="155"/>
      <c r="O3" s="155"/>
      <c r="P3" s="155"/>
      <c r="Q3" s="156" t="s">
        <v>65</v>
      </c>
      <c r="R3" s="156"/>
      <c r="S3" s="156"/>
      <c r="T3" s="156"/>
      <c r="U3" s="157" t="s">
        <v>64</v>
      </c>
      <c r="V3" s="157"/>
      <c r="W3" s="157"/>
      <c r="X3" s="157"/>
      <c r="Y3" s="158"/>
      <c r="Z3" s="157"/>
      <c r="AA3" s="157"/>
      <c r="AB3" s="157"/>
      <c r="AC3" s="157"/>
      <c r="AD3" s="4"/>
      <c r="AE3" s="159" t="s">
        <v>66</v>
      </c>
      <c r="AF3" s="159"/>
      <c r="AG3" s="160"/>
      <c r="AH3" s="160"/>
      <c r="AI3" s="160"/>
      <c r="AJ3" s="160"/>
    </row>
    <row r="4" spans="1:36" s="130" customFormat="1" ht="31.2" customHeight="1">
      <c r="N4" s="162" t="s">
        <v>67</v>
      </c>
      <c r="O4" s="163" t="s">
        <v>2</v>
      </c>
      <c r="P4" s="163" t="s">
        <v>286</v>
      </c>
      <c r="Q4" s="164" t="s">
        <v>67</v>
      </c>
      <c r="R4" s="165" t="s">
        <v>2</v>
      </c>
      <c r="S4" s="165" t="s">
        <v>286</v>
      </c>
      <c r="T4" s="165" t="s">
        <v>68</v>
      </c>
      <c r="U4" s="166" t="s">
        <v>67</v>
      </c>
      <c r="V4" s="166" t="s">
        <v>2</v>
      </c>
      <c r="W4" s="166" t="s">
        <v>287</v>
      </c>
      <c r="X4" s="166" t="s">
        <v>286</v>
      </c>
      <c r="Y4" s="166" t="s">
        <v>69</v>
      </c>
      <c r="Z4" s="166" t="s">
        <v>70</v>
      </c>
      <c r="AA4" s="166" t="s">
        <v>4</v>
      </c>
      <c r="AB4" s="166" t="s">
        <v>71</v>
      </c>
      <c r="AC4" s="166" t="s">
        <v>73</v>
      </c>
      <c r="AD4" s="2"/>
      <c r="AE4" s="167" t="s">
        <v>72</v>
      </c>
      <c r="AF4" s="168" t="s">
        <v>67</v>
      </c>
      <c r="AG4" s="168" t="s">
        <v>2</v>
      </c>
      <c r="AH4" s="168" t="s">
        <v>288</v>
      </c>
      <c r="AI4" s="168" t="s">
        <v>286</v>
      </c>
      <c r="AJ4" s="168" t="s">
        <v>73</v>
      </c>
    </row>
    <row r="5"/>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E385-07D1-411F-8FB0-3A0D04609B66}">
  <sheetPr>
    <tabColor theme="4" tint="-0.249977111117893"/>
  </sheetPr>
  <dimension ref="A1:AJ29"/>
  <sheetViews>
    <sheetView topLeftCell="M1" zoomScale="55" zoomScaleNormal="55" workbookViewId="0">
      <pane ySplit="4" topLeftCell="A5" activePane="bottomLeft" state="frozen"/>
      <selection activeCell="K47" sqref="K47"/>
      <selection pane="bottomLeft" activeCell="AI17" sqref="AI17"/>
    </sheetView>
  </sheetViews>
  <sheetFormatPr defaultColWidth="8.88671875" defaultRowHeight="15.6" outlineLevelCol="1"/>
  <cols>
    <col min="1" max="1" width="9.88671875" style="3" customWidth="1"/>
    <col min="2" max="2" width="8.77734375" style="3" customWidth="1"/>
    <col min="3" max="3" width="14.77734375" style="3" customWidth="1"/>
    <col min="4" max="4" width="14.88671875" style="3" customWidth="1"/>
    <col min="5" max="5" width="22.109375" style="3" customWidth="1"/>
    <col min="6" max="6" width="11.44140625" style="3" customWidth="1"/>
    <col min="7" max="7" width="48.33203125" style="3" customWidth="1"/>
    <col min="8" max="8" width="7.6640625" style="3" customWidth="1"/>
    <col min="9" max="10" width="10.5546875" style="3" customWidth="1"/>
    <col min="11" max="11" width="10.5546875" style="54" customWidth="1"/>
    <col min="12" max="12" width="2.88671875" style="3" customWidth="1"/>
    <col min="13" max="13" width="9" style="3" customWidth="1" outlineLevel="1"/>
    <col min="14" max="14" width="41" style="3" customWidth="1" outlineLevel="1"/>
    <col min="15" max="15" width="7.33203125" style="3" customWidth="1" outlineLevel="1"/>
    <col min="16" max="16" width="15.21875" style="3" customWidth="1" outlineLevel="1"/>
    <col min="17" max="17" width="13" style="3" customWidth="1" outlineLevel="1"/>
    <col min="18" max="18" width="15.33203125" style="3" customWidth="1" outlineLevel="1"/>
    <col min="19" max="19" width="9.109375" style="3" customWidth="1" outlineLevel="1"/>
    <col min="20" max="20" width="25.33203125" style="3" customWidth="1" outlineLevel="1"/>
    <col min="21" max="21" width="15.77734375" style="3" customWidth="1" outlineLevel="1"/>
    <col min="22" max="23" width="9.109375" style="3" customWidth="1" outlineLevel="1"/>
    <col min="24" max="24" width="11.88671875" style="3" customWidth="1" outlineLevel="1"/>
    <col min="25" max="25" width="9.109375" style="3" customWidth="1" outlineLevel="1"/>
    <col min="26" max="26" width="10.88671875" style="3" customWidth="1" outlineLevel="1"/>
    <col min="27" max="27" width="9" style="3" customWidth="1" outlineLevel="1"/>
    <col min="28" max="28" width="7.33203125" style="3" customWidth="1" outlineLevel="1"/>
    <col min="29" max="29" width="11.6640625" style="3" customWidth="1" outlineLevel="1"/>
    <col min="30" max="30" width="9" style="3" customWidth="1" outlineLevel="1"/>
    <col min="31" max="31" width="19.44140625" style="3" customWidth="1"/>
    <col min="32" max="32" width="30.6640625" style="3" customWidth="1"/>
    <col min="33" max="33" width="6.6640625" style="3" customWidth="1"/>
    <col min="34" max="34" width="9" style="3" customWidth="1"/>
    <col min="35" max="35" width="13.88671875" style="3" bestFit="1" customWidth="1"/>
    <col min="36" max="36" width="34" style="3" customWidth="1"/>
    <col min="37" max="38" width="8.88671875" style="3" customWidth="1"/>
    <col min="39" max="16384" width="8.88671875" style="3"/>
  </cols>
  <sheetData>
    <row r="1" spans="1:36" ht="32.1" customHeight="1">
      <c r="A1" s="170" t="s">
        <v>62</v>
      </c>
      <c r="F1" s="11"/>
      <c r="G1" s="171"/>
      <c r="H1" s="5"/>
      <c r="I1" s="5"/>
      <c r="J1" s="5"/>
      <c r="N1" s="147" t="s">
        <v>284</v>
      </c>
      <c r="O1" s="148"/>
      <c r="P1" s="148"/>
      <c r="Q1" s="148"/>
      <c r="R1" s="148"/>
      <c r="S1" s="148"/>
      <c r="T1" s="148"/>
      <c r="U1" s="148"/>
      <c r="V1" s="148"/>
      <c r="W1" s="148"/>
      <c r="X1" s="148"/>
      <c r="Y1" s="148"/>
      <c r="Z1" s="148"/>
      <c r="AA1" s="148"/>
      <c r="AB1" s="148"/>
      <c r="AC1" s="148"/>
      <c r="AD1" s="142"/>
      <c r="AE1" s="1" t="s">
        <v>285</v>
      </c>
      <c r="AI1" s="172"/>
    </row>
    <row r="2" spans="1:36" ht="16.5" customHeight="1">
      <c r="A2" s="173"/>
      <c r="F2" s="11"/>
      <c r="G2" s="171"/>
      <c r="H2" s="5"/>
      <c r="I2" s="5"/>
      <c r="N2" s="174" t="s">
        <v>313</v>
      </c>
      <c r="O2" s="175"/>
      <c r="P2" s="175"/>
      <c r="Q2" s="175"/>
      <c r="R2" s="175"/>
      <c r="S2" s="175"/>
      <c r="T2" s="175"/>
      <c r="U2" s="175"/>
      <c r="Y2" s="5"/>
      <c r="Z2" s="5"/>
      <c r="AA2" s="5"/>
      <c r="AB2" s="5"/>
      <c r="AC2" s="5"/>
      <c r="AE2" s="174"/>
      <c r="AI2" s="172">
        <v>0</v>
      </c>
    </row>
    <row r="3" spans="1:36" ht="18" customHeight="1">
      <c r="A3" s="176"/>
      <c r="B3" s="176"/>
      <c r="C3" s="176"/>
      <c r="D3" s="176"/>
      <c r="E3" s="176"/>
      <c r="F3" s="176"/>
      <c r="G3" s="176"/>
      <c r="H3" s="176"/>
      <c r="I3" s="176" t="s">
        <v>61</v>
      </c>
      <c r="J3" s="176"/>
      <c r="K3" s="176"/>
      <c r="N3" s="177"/>
      <c r="O3" s="177"/>
      <c r="P3" s="178"/>
      <c r="Q3" s="179" t="s">
        <v>65</v>
      </c>
      <c r="R3" s="179"/>
      <c r="S3" s="180"/>
      <c r="T3" s="179"/>
      <c r="U3" s="181" t="s">
        <v>64</v>
      </c>
      <c r="V3" s="181"/>
      <c r="W3" s="181"/>
      <c r="X3" s="181"/>
      <c r="Y3" s="182"/>
      <c r="Z3" s="181"/>
      <c r="AA3" s="181"/>
      <c r="AB3" s="181"/>
      <c r="AC3" s="181"/>
      <c r="AD3" s="9"/>
      <c r="AE3" s="183" t="s">
        <v>66</v>
      </c>
      <c r="AF3" s="183"/>
      <c r="AG3" s="184"/>
      <c r="AH3" s="184"/>
      <c r="AI3" s="185"/>
      <c r="AJ3" s="184"/>
    </row>
    <row r="4" spans="1:36" ht="15.6" customHeight="1">
      <c r="A4" s="176" t="s">
        <v>5</v>
      </c>
      <c r="B4" s="176" t="s">
        <v>6</v>
      </c>
      <c r="C4" s="176" t="s">
        <v>7</v>
      </c>
      <c r="D4" s="176" t="s">
        <v>8</v>
      </c>
      <c r="E4" s="176" t="s">
        <v>9</v>
      </c>
      <c r="F4" s="176" t="s">
        <v>96</v>
      </c>
      <c r="G4" s="176" t="s">
        <v>95</v>
      </c>
      <c r="H4" s="176" t="s">
        <v>2</v>
      </c>
      <c r="I4" s="176" t="s">
        <v>63</v>
      </c>
      <c r="J4" s="176" t="s">
        <v>98</v>
      </c>
      <c r="K4" s="176" t="s">
        <v>97</v>
      </c>
      <c r="N4" s="186" t="s">
        <v>67</v>
      </c>
      <c r="O4" s="187" t="s">
        <v>2</v>
      </c>
      <c r="P4" s="188" t="s">
        <v>286</v>
      </c>
      <c r="Q4" s="189" t="s">
        <v>67</v>
      </c>
      <c r="R4" s="190" t="s">
        <v>2</v>
      </c>
      <c r="S4" s="191" t="s">
        <v>286</v>
      </c>
      <c r="T4" s="190" t="s">
        <v>68</v>
      </c>
      <c r="U4" s="192" t="s">
        <v>67</v>
      </c>
      <c r="V4" s="192" t="s">
        <v>2</v>
      </c>
      <c r="W4" s="192" t="s">
        <v>287</v>
      </c>
      <c r="X4" s="192" t="s">
        <v>286</v>
      </c>
      <c r="Y4" s="192" t="s">
        <v>69</v>
      </c>
      <c r="Z4" s="192" t="s">
        <v>70</v>
      </c>
      <c r="AA4" s="192" t="s">
        <v>4</v>
      </c>
      <c r="AB4" s="192" t="s">
        <v>71</v>
      </c>
      <c r="AC4" s="192" t="s">
        <v>73</v>
      </c>
      <c r="AE4" s="193" t="s">
        <v>72</v>
      </c>
      <c r="AF4" s="194" t="s">
        <v>67</v>
      </c>
      <c r="AG4" s="195" t="s">
        <v>2</v>
      </c>
      <c r="AH4" s="195" t="s">
        <v>288</v>
      </c>
      <c r="AI4" s="196" t="s">
        <v>286</v>
      </c>
      <c r="AJ4" s="195" t="s">
        <v>73</v>
      </c>
    </row>
    <row r="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31D157D5FB28478293EA1173BF4A02" ma:contentTypeVersion="8" ma:contentTypeDescription="Create a new document." ma:contentTypeScope="" ma:versionID="7fae124a8e7c5f3d1edcae1f85c65917">
  <xsd:schema xmlns:xsd="http://www.w3.org/2001/XMLSchema" xmlns:xs="http://www.w3.org/2001/XMLSchema" xmlns:p="http://schemas.microsoft.com/office/2006/metadata/properties" xmlns:ns2="ac912ce1-39bb-40cc-8e98-902f6a9574e1" targetNamespace="http://schemas.microsoft.com/office/2006/metadata/properties" ma:root="true" ma:fieldsID="a39eba5c333ef14ce3a3f0ac82784469" ns2:_="">
    <xsd:import namespace="ac912ce1-39bb-40cc-8e98-902f6a9574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12ce1-39bb-40cc-8e98-902f6a957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9adb10-6e21-409c-a56d-7a3d0f040d53"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912ce1-39bb-40cc-8e98-902f6a9574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E887E8-3D90-46C1-8AF4-1134A8D7094F}">
  <ds:schemaRefs>
    <ds:schemaRef ds:uri="http://schemas.microsoft.com/sharepoint/v3/contenttype/forms"/>
  </ds:schemaRefs>
</ds:datastoreItem>
</file>

<file path=customXml/itemProps2.xml><?xml version="1.0" encoding="utf-8"?>
<ds:datastoreItem xmlns:ds="http://schemas.openxmlformats.org/officeDocument/2006/customXml" ds:itemID="{1ECF2CCF-0E9C-46D0-BD59-F49165AB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12ce1-39bb-40cc-8e98-902f6a9574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E5F9E6-716E-4B23-A0BC-8A27C128F5A1}">
  <ds:schemaRefs>
    <ds:schemaRef ds:uri="http://schemas.microsoft.com/office/2006/metadata/properties"/>
    <ds:schemaRef ds:uri="http://schemas.microsoft.com/office/infopath/2007/PartnerControls"/>
    <ds:schemaRef ds:uri="ac912ce1-39bb-40cc-8e98-902f6a9574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CombineBQ</vt:lpstr>
      <vt:lpstr>CostSummary</vt:lpstr>
      <vt:lpstr>MainQty</vt:lpstr>
      <vt:lpstr>UniqueBQ</vt:lpstr>
      <vt:lpstr>UniqueShot</vt:lpstr>
      <vt:lpstr>分类定义区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Peng Kang</cp:lastModifiedBy>
  <dcterms:created xsi:type="dcterms:W3CDTF">2026-07-29T02:48:27Z</dcterms:created>
  <dcterms:modified xsi:type="dcterms:W3CDTF">2026-09-06T09:51:51Z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0x010100E931D157D5FB28478293EA1173BF4A02</vt:lpwstr>
  </property>
  <property fmtid="{D5CDD505-2E9C-101B-9397-08002B2CF9AE}" pid="3" name="MediaServiceImageTags">
    <vt:lpwstr/>
  </property>
</Properties>
</file>