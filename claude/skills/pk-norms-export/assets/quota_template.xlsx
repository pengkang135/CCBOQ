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单价" sheetId="1" state="visible" r:id="rId1"/>
    <sheet xmlns:r="http://schemas.openxmlformats.org/officeDocument/2006/relationships" name="人材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0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b val="1"/>
      <sz val="9"/>
    </font>
    <font>
      <name val="微软雅黑"/>
      <b val="1"/>
      <color rgb="00FFFFFF"/>
      <sz val="10"/>
    </font>
    <font>
      <name val="微软雅黑"/>
      <b val="1"/>
      <color rgb="001F4E79"/>
      <sz val="10"/>
    </font>
    <font>
      <name val="微软雅黑"/>
      <b val="1"/>
      <color rgb="001A1A1A"/>
      <sz val="9"/>
    </font>
    <font>
      <name val="微软雅黑"/>
      <sz val="9"/>
    </font>
    <font>
      <name val="微软雅黑"/>
      <b val="1"/>
      <sz val="8"/>
    </font>
    <font>
      <name val="微软雅黑"/>
      <b val="1"/>
      <color rgb="00FFFFFF"/>
      <sz val="9"/>
    </font>
    <font>
      <name val="微软雅黑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333F4F"/>
      </patternFill>
    </fill>
    <fill>
      <patternFill patternType="solid">
        <fgColor rgb="FFD6E4F0"/>
      </patternFill>
    </fill>
    <fill>
      <patternFill patternType="solid">
        <fgColor rgb="FFFBE5D6"/>
      </patternFill>
    </fill>
    <fill>
      <patternFill patternType="solid">
        <fgColor theme="0" tint="-0.15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  <right style="thin"/>
      <bottom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top" wrapText="1"/>
    </xf>
    <xf numFmtId="0" fontId="2" fillId="0" borderId="7" applyAlignment="1" pivotButton="0" quotePrefix="0" xfId="0">
      <alignment horizontal="center" vertical="top" wrapText="1"/>
    </xf>
    <xf numFmtId="0" fontId="2" fillId="0" borderId="8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center" vertical="top" wrapText="1"/>
    </xf>
    <xf numFmtId="0" fontId="7" fillId="6" borderId="6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vertical="top"/>
    </xf>
    <xf numFmtId="0" fontId="8" fillId="3" borderId="10" applyAlignment="1" pivotButton="0" quotePrefix="0" xfId="0">
      <alignment horizontal="center" vertical="top"/>
    </xf>
    <xf numFmtId="0" fontId="8" fillId="3" borderId="11" applyAlignment="1" pivotButton="0" quotePrefix="0" xfId="0">
      <alignment horizontal="center" vertical="top"/>
    </xf>
    <xf numFmtId="0" fontId="8" fillId="3" borderId="12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vertical="top"/>
    </xf>
    <xf numFmtId="0" fontId="5" fillId="2" borderId="10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0" fontId="5" fillId="2" borderId="12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/>
    </xf>
    <xf numFmtId="0" fontId="5" fillId="5" borderId="10" applyAlignment="1" pivotButton="0" quotePrefix="0" xfId="0">
      <alignment horizontal="center" vertical="top"/>
    </xf>
    <xf numFmtId="0" fontId="5" fillId="5" borderId="11" applyAlignment="1" pivotButton="0" quotePrefix="0" xfId="0">
      <alignment horizontal="center" vertical="top"/>
    </xf>
    <xf numFmtId="0" fontId="5" fillId="5" borderId="12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vertical="top"/>
    </xf>
    <xf numFmtId="0" fontId="9" fillId="0" borderId="10" applyAlignment="1" pivotButton="0" quotePrefix="0" xfId="0">
      <alignment horizontal="center" vertical="top"/>
    </xf>
    <xf numFmtId="0" fontId="9" fillId="0" borderId="11" applyAlignment="1" pivotButton="0" quotePrefix="0" xfId="0">
      <alignment horizontal="center" vertical="top"/>
    </xf>
    <xf numFmtId="0" fontId="9" fillId="0" borderId="12" applyAlignment="1" pivotButton="0" quotePrefix="0" xfId="0">
      <alignment horizontal="center" vertical="top"/>
    </xf>
    <xf numFmtId="4" fontId="9" fillId="0" borderId="1" applyAlignment="1" pivotButton="0" quotePrefix="0" xfId="0">
      <alignment horizontal="center" vertical="top"/>
    </xf>
    <xf numFmtId="1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49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/>
    </xf>
    <xf numFmtId="4" fontId="6" fillId="0" borderId="1" applyAlignment="1" pivotButton="0" quotePrefix="0" xfId="0">
      <alignment horizontal="center" vertical="top"/>
    </xf>
    <xf numFmtId="164" fontId="6" fillId="0" borderId="1" applyAlignment="1" pivotButton="0" quotePrefix="0" xfId="0">
      <alignment horizontal="center" vertical="top"/>
    </xf>
    <xf numFmtId="4" fontId="6" fillId="0" borderId="10" applyAlignment="1" pivotButton="0" quotePrefix="0" xfId="0">
      <alignment horizontal="center" vertical="top"/>
    </xf>
    <xf numFmtId="4" fontId="6" fillId="0" borderId="11" applyAlignment="1" pivotButton="0" quotePrefix="0" xfId="0">
      <alignment horizontal="center" vertical="top"/>
    </xf>
    <xf numFmtId="4" fontId="6" fillId="0" borderId="12" applyAlignment="1" pivotButton="0" quotePrefix="0" xfId="0">
      <alignment horizontal="center" vertical="top"/>
    </xf>
    <xf numFmtId="0" fontId="6" fillId="0" borderId="1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BN3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8.22" customWidth="1" min="3" max="3"/>
    <col width="44.22" customWidth="1" min="4" max="4"/>
    <col width="5.11" customWidth="1" min="5" max="5"/>
    <col width="12" customWidth="1" min="6" max="6"/>
    <col width="12" customWidth="1" min="7" max="7"/>
    <col width="12" customWidth="1" min="8" max="8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Code</t>
        </is>
      </c>
      <c r="D1" s="1" t="inlineStr">
        <is>
          <t>Description</t>
        </is>
      </c>
      <c r="E1" s="2" t="inlineStr">
        <is>
          <t>Unit</t>
        </is>
      </c>
      <c r="F1" s="2" t="inlineStr">
        <is>
          <t>Amount</t>
        </is>
      </c>
      <c r="G1" s="2" t="inlineStr">
        <is>
          <t>Qty</t>
        </is>
      </c>
      <c r="H1" s="3" t="inlineStr">
        <is>
          <t>Rate</t>
        </is>
      </c>
      <c r="I1" s="4" t="inlineStr">
        <is>
          <t>Labourt</t>
        </is>
      </c>
      <c r="J1" s="4" t="inlineStr">
        <is>
          <t>Materials</t>
        </is>
      </c>
      <c r="K1" s="5" t="inlineStr">
        <is>
          <t>Plant</t>
        </is>
      </c>
      <c r="L1" s="6" t="inlineStr">
        <is>
          <t>Qty1</t>
        </is>
      </c>
      <c r="M1" s="6" t="inlineStr">
        <is>
          <t>Qty2</t>
        </is>
      </c>
      <c r="N1" s="6" t="inlineStr">
        <is>
          <t>Qty3</t>
        </is>
      </c>
      <c r="O1" s="6" t="inlineStr">
        <is>
          <t>Qty4</t>
        </is>
      </c>
      <c r="P1" s="6" t="inlineStr">
        <is>
          <t>Qty5</t>
        </is>
      </c>
      <c r="Q1" s="6" t="inlineStr">
        <is>
          <t>Qty6</t>
        </is>
      </c>
      <c r="R1" s="6" t="inlineStr">
        <is>
          <t>Qty7</t>
        </is>
      </c>
      <c r="S1" s="6" t="inlineStr">
        <is>
          <t>Qty8</t>
        </is>
      </c>
      <c r="T1" s="6" t="inlineStr">
        <is>
          <t>Qty9</t>
        </is>
      </c>
      <c r="U1" s="6" t="inlineStr">
        <is>
          <t>Qty10</t>
        </is>
      </c>
      <c r="V1" s="6" t="inlineStr">
        <is>
          <t>Qty11</t>
        </is>
      </c>
      <c r="W1" s="6" t="inlineStr">
        <is>
          <t>Qty12</t>
        </is>
      </c>
      <c r="X1" s="6" t="inlineStr">
        <is>
          <t>Qty13</t>
        </is>
      </c>
      <c r="Y1" s="6" t="inlineStr">
        <is>
          <t>Qty14</t>
        </is>
      </c>
      <c r="Z1" s="6" t="inlineStr">
        <is>
          <t>Qty15</t>
        </is>
      </c>
      <c r="AA1" s="6" t="inlineStr">
        <is>
          <t>Qty16</t>
        </is>
      </c>
      <c r="AB1" s="6" t="inlineStr">
        <is>
          <t>Qty17</t>
        </is>
      </c>
      <c r="AC1" s="6" t="inlineStr">
        <is>
          <t>Qty18</t>
        </is>
      </c>
      <c r="AD1" s="6" t="inlineStr">
        <is>
          <t>Qty19</t>
        </is>
      </c>
      <c r="AE1" s="6" t="inlineStr">
        <is>
          <t>Qty20</t>
        </is>
      </c>
      <c r="AF1" s="6" t="inlineStr">
        <is>
          <t>Qty21</t>
        </is>
      </c>
      <c r="AG1" s="6" t="inlineStr">
        <is>
          <t>Qty22</t>
        </is>
      </c>
      <c r="AH1" s="6" t="inlineStr">
        <is>
          <t>Qty23</t>
        </is>
      </c>
      <c r="AI1" s="6" t="inlineStr">
        <is>
          <t>Qty24</t>
        </is>
      </c>
      <c r="AJ1" s="6" t="inlineStr">
        <is>
          <t>Qty25</t>
        </is>
      </c>
      <c r="AK1" s="6" t="inlineStr">
        <is>
          <t>Qty26</t>
        </is>
      </c>
      <c r="AL1" s="6" t="inlineStr">
        <is>
          <t>Qty27</t>
        </is>
      </c>
      <c r="AM1" s="6" t="inlineStr">
        <is>
          <t>Qty28</t>
        </is>
      </c>
      <c r="AN1" s="6" t="inlineStr">
        <is>
          <t>Qty29</t>
        </is>
      </c>
      <c r="AO1" s="6" t="inlineStr">
        <is>
          <t>Qty30</t>
        </is>
      </c>
      <c r="AP1" s="6" t="inlineStr">
        <is>
          <t>Qty31</t>
        </is>
      </c>
      <c r="AQ1" s="6" t="inlineStr">
        <is>
          <t>Qty32</t>
        </is>
      </c>
      <c r="AR1" s="6" t="inlineStr">
        <is>
          <t>Qty33</t>
        </is>
      </c>
      <c r="AS1" s="6" t="inlineStr">
        <is>
          <t>Qty34</t>
        </is>
      </c>
      <c r="AT1" s="6" t="inlineStr">
        <is>
          <t>Qty35</t>
        </is>
      </c>
      <c r="AU1" s="6" t="inlineStr">
        <is>
          <t>Qty36</t>
        </is>
      </c>
      <c r="AV1" s="6" t="inlineStr">
        <is>
          <t>Qty37</t>
        </is>
      </c>
      <c r="AW1" s="6" t="inlineStr">
        <is>
          <t>Qty38</t>
        </is>
      </c>
      <c r="AX1" s="6" t="inlineStr">
        <is>
          <t>Qty39</t>
        </is>
      </c>
      <c r="AY1" s="6" t="inlineStr">
        <is>
          <t>Qty40</t>
        </is>
      </c>
      <c r="AZ1" s="6" t="inlineStr">
        <is>
          <t>Qty41</t>
        </is>
      </c>
      <c r="BA1" s="6" t="inlineStr">
        <is>
          <t>Qty42</t>
        </is>
      </c>
      <c r="BB1" s="6" t="inlineStr">
        <is>
          <t>Qty43</t>
        </is>
      </c>
      <c r="BC1" s="6" t="inlineStr">
        <is>
          <t>Qty44</t>
        </is>
      </c>
      <c r="BD1" s="6" t="inlineStr">
        <is>
          <t>Qty45</t>
        </is>
      </c>
      <c r="BE1" s="6" t="inlineStr">
        <is>
          <t>Qty46</t>
        </is>
      </c>
      <c r="BF1" s="6" t="inlineStr">
        <is>
          <t>Qty47</t>
        </is>
      </c>
      <c r="BG1" s="6" t="inlineStr">
        <is>
          <t>Qty48</t>
        </is>
      </c>
      <c r="BH1" s="6" t="inlineStr">
        <is>
          <t>Qty49</t>
        </is>
      </c>
      <c r="BI1" s="6" t="inlineStr">
        <is>
          <t>Qty50</t>
        </is>
      </c>
      <c r="BJ1" s="6" t="inlineStr">
        <is>
          <t>Qty51</t>
        </is>
      </c>
      <c r="BK1" s="6" t="inlineStr">
        <is>
          <t>Qty52</t>
        </is>
      </c>
      <c r="BL1" s="6" t="inlineStr">
        <is>
          <t>Qty53</t>
        </is>
      </c>
      <c r="BM1" s="6" t="inlineStr">
        <is>
          <t>Qty54</t>
        </is>
      </c>
      <c r="BN1" s="6" t="inlineStr">
        <is>
          <t>Qty55</t>
        </is>
      </c>
    </row>
    <row r="2">
      <c r="A2" s="7" t="inlineStr">
        <is>
          <t>序号</t>
        </is>
      </c>
      <c r="B2" s="7" t="inlineStr">
        <is>
          <t>分类指标</t>
        </is>
      </c>
      <c r="C2" s="7" t="inlineStr">
        <is>
          <t>定额编号</t>
        </is>
      </c>
      <c r="D2" s="7" t="inlineStr">
        <is>
          <t>项目名称</t>
        </is>
      </c>
      <c r="E2" s="8" t="inlineStr">
        <is>
          <t>单位</t>
        </is>
      </c>
      <c r="F2" s="8" t="inlineStr">
        <is>
          <t>合价</t>
        </is>
      </c>
      <c r="G2" s="8" t="inlineStr">
        <is>
          <t>工程量</t>
        </is>
      </c>
      <c r="H2" s="9" t="inlineStr">
        <is>
          <t>单价</t>
        </is>
      </c>
      <c r="I2" s="10" t="inlineStr">
        <is>
          <t>人工</t>
        </is>
      </c>
      <c r="J2" s="10" t="inlineStr">
        <is>
          <t>材料</t>
        </is>
      </c>
      <c r="K2" s="11" t="inlineStr">
        <is>
          <t>机械</t>
        </is>
      </c>
      <c r="L2" s="12" t="inlineStr">
        <is>
          <t>消耗量1</t>
        </is>
      </c>
      <c r="M2" s="12" t="inlineStr">
        <is>
          <t>消耗量2</t>
        </is>
      </c>
      <c r="N2" s="12" t="inlineStr">
        <is>
          <t>消耗量3</t>
        </is>
      </c>
      <c r="O2" s="12" t="inlineStr">
        <is>
          <t>消耗量4</t>
        </is>
      </c>
      <c r="P2" s="12" t="inlineStr">
        <is>
          <t>消耗量5</t>
        </is>
      </c>
      <c r="Q2" s="12" t="inlineStr">
        <is>
          <t>消耗量6</t>
        </is>
      </c>
      <c r="R2" s="12" t="inlineStr">
        <is>
          <t>消耗量7</t>
        </is>
      </c>
      <c r="S2" s="12" t="inlineStr">
        <is>
          <t>消耗量8</t>
        </is>
      </c>
      <c r="T2" s="12" t="inlineStr">
        <is>
          <t>消耗量9</t>
        </is>
      </c>
      <c r="U2" s="12" t="inlineStr">
        <is>
          <t>消耗量10</t>
        </is>
      </c>
      <c r="V2" s="12" t="inlineStr">
        <is>
          <t>消耗量11</t>
        </is>
      </c>
      <c r="W2" s="12" t="inlineStr">
        <is>
          <t>消耗量12</t>
        </is>
      </c>
      <c r="X2" s="12" t="inlineStr">
        <is>
          <t>消耗量13</t>
        </is>
      </c>
      <c r="Y2" s="12" t="inlineStr">
        <is>
          <t>消耗量14</t>
        </is>
      </c>
      <c r="Z2" s="12" t="inlineStr">
        <is>
          <t>消耗量15</t>
        </is>
      </c>
      <c r="AA2" s="12" t="inlineStr">
        <is>
          <t>消耗量16</t>
        </is>
      </c>
      <c r="AB2" s="12" t="inlineStr">
        <is>
          <t>消耗量17</t>
        </is>
      </c>
      <c r="AC2" s="12" t="inlineStr">
        <is>
          <t>消耗量18</t>
        </is>
      </c>
      <c r="AD2" s="12" t="inlineStr">
        <is>
          <t>消耗量19</t>
        </is>
      </c>
      <c r="AE2" s="12" t="inlineStr">
        <is>
          <t>消耗量20</t>
        </is>
      </c>
      <c r="AF2" s="12" t="inlineStr">
        <is>
          <t>消耗量21</t>
        </is>
      </c>
      <c r="AG2" s="12" t="inlineStr">
        <is>
          <t>消耗量22</t>
        </is>
      </c>
      <c r="AH2" s="12" t="inlineStr">
        <is>
          <t>消耗量23</t>
        </is>
      </c>
      <c r="AI2" s="12" t="inlineStr">
        <is>
          <t>消耗量24</t>
        </is>
      </c>
      <c r="AJ2" s="12" t="inlineStr">
        <is>
          <t>消耗量25</t>
        </is>
      </c>
      <c r="AK2" s="12" t="inlineStr">
        <is>
          <t>消耗量26</t>
        </is>
      </c>
      <c r="AL2" s="12" t="inlineStr">
        <is>
          <t>消耗量27</t>
        </is>
      </c>
      <c r="AM2" s="12" t="inlineStr">
        <is>
          <t>消耗量28</t>
        </is>
      </c>
      <c r="AN2" s="12" t="inlineStr">
        <is>
          <t>消耗量29</t>
        </is>
      </c>
      <c r="AO2" s="12" t="inlineStr">
        <is>
          <t>消耗量30</t>
        </is>
      </c>
      <c r="AP2" s="12" t="inlineStr">
        <is>
          <t>消耗量31</t>
        </is>
      </c>
      <c r="AQ2" s="12" t="inlineStr">
        <is>
          <t>消耗量32</t>
        </is>
      </c>
      <c r="AR2" s="12" t="inlineStr">
        <is>
          <t>消耗量33</t>
        </is>
      </c>
      <c r="AS2" s="12" t="inlineStr">
        <is>
          <t>消耗量34</t>
        </is>
      </c>
      <c r="AT2" s="12" t="inlineStr">
        <is>
          <t>消耗量35</t>
        </is>
      </c>
      <c r="AU2" s="12" t="inlineStr">
        <is>
          <t>消耗量36</t>
        </is>
      </c>
      <c r="AV2" s="12" t="inlineStr">
        <is>
          <t>消耗量37</t>
        </is>
      </c>
      <c r="AW2" s="12" t="inlineStr">
        <is>
          <t>消耗量38</t>
        </is>
      </c>
      <c r="AX2" s="12" t="inlineStr">
        <is>
          <t>消耗量39</t>
        </is>
      </c>
      <c r="AY2" s="12" t="inlineStr">
        <is>
          <t>消耗量40</t>
        </is>
      </c>
      <c r="AZ2" s="12" t="inlineStr">
        <is>
          <t>消耗量41</t>
        </is>
      </c>
      <c r="BA2" s="12" t="inlineStr">
        <is>
          <t>消耗量42</t>
        </is>
      </c>
      <c r="BB2" s="12" t="inlineStr">
        <is>
          <t>消耗量43</t>
        </is>
      </c>
      <c r="BC2" s="12" t="inlineStr">
        <is>
          <t>消耗量44</t>
        </is>
      </c>
      <c r="BD2" s="12" t="inlineStr">
        <is>
          <t>消耗量45</t>
        </is>
      </c>
      <c r="BE2" s="12" t="inlineStr">
        <is>
          <t>消耗量46</t>
        </is>
      </c>
      <c r="BF2" s="12" t="inlineStr">
        <is>
          <t>消耗量47</t>
        </is>
      </c>
      <c r="BG2" s="12" t="inlineStr">
        <is>
          <t>消耗量48</t>
        </is>
      </c>
      <c r="BH2" s="12" t="inlineStr">
        <is>
          <t>消耗量49</t>
        </is>
      </c>
      <c r="BI2" s="12" t="inlineStr">
        <is>
          <t>消耗量50</t>
        </is>
      </c>
      <c r="BJ2" s="12" t="inlineStr">
        <is>
          <t>消耗量51</t>
        </is>
      </c>
      <c r="BK2" s="12" t="inlineStr">
        <is>
          <t>消耗量52</t>
        </is>
      </c>
      <c r="BL2" s="12" t="inlineStr">
        <is>
          <t>消耗量53</t>
        </is>
      </c>
      <c r="BM2" s="12" t="inlineStr">
        <is>
          <t>消耗量54</t>
        </is>
      </c>
      <c r="BN2" s="12" t="inlineStr">
        <is>
          <t>消耗量55</t>
        </is>
      </c>
    </row>
    <row r="3">
      <c r="A3" s="13" t="n"/>
      <c r="B3" s="14" t="n"/>
      <c r="C3" s="14" t="inlineStr">
        <is>
          <t>A.01</t>
        </is>
      </c>
      <c r="D3" s="14" t="inlineStr">
        <is>
          <t>【A.01 场地准备与土石方】</t>
        </is>
      </c>
      <c r="E3" s="13" t="n"/>
      <c r="F3" s="13" t="n"/>
      <c r="G3" s="13" t="n"/>
      <c r="H3" s="15" t="n"/>
      <c r="I3" s="16" t="n"/>
      <c r="J3" s="16" t="n"/>
      <c r="K3" s="17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</row>
    <row r="4" outlineLevel="1">
      <c r="A4" s="18" t="n"/>
      <c r="B4" s="19" t="n"/>
      <c r="C4" s="19" t="n"/>
      <c r="D4" s="19" t="inlineStr">
        <is>
          <t>《A.01.02 基础土石方》</t>
        </is>
      </c>
      <c r="E4" s="18" t="n"/>
      <c r="F4" s="18" t="n"/>
      <c r="G4" s="18" t="n"/>
      <c r="H4" s="20" t="n"/>
      <c r="I4" s="21" t="n"/>
      <c r="J4" s="21" t="n"/>
      <c r="K4" s="22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</row>
    <row r="5" outlineLevel="2">
      <c r="A5" s="23" t="n"/>
      <c r="B5" s="24" t="n"/>
      <c r="C5" s="24" t="n"/>
      <c r="D5" s="24" t="inlineStr">
        <is>
          <t>{A.01.02.001 挖基坑土方}</t>
        </is>
      </c>
      <c r="E5" s="23" t="n"/>
      <c r="F5" s="23" t="n"/>
      <c r="G5" s="23" t="n"/>
      <c r="H5" s="25" t="n"/>
      <c r="I5" s="26" t="n"/>
      <c r="J5" s="26" t="n"/>
      <c r="K5" s="27" t="n"/>
      <c r="L5" s="23" t="inlineStr">
        <is>
          <t>普工
工日</t>
        </is>
      </c>
      <c r="M5" s="23" t="inlineStr">
        <is>
          <t>柴油
kg</t>
        </is>
      </c>
      <c r="N5" s="23" t="inlineStr">
        <is>
          <t>推土机 综合
台班</t>
        </is>
      </c>
      <c r="O5" s="23" t="inlineStr">
        <is>
          <t>自卸汽车 15t
台班</t>
        </is>
      </c>
      <c r="P5" s="23" t="inlineStr">
        <is>
          <t>挖土机 综合
台班</t>
        </is>
      </c>
      <c r="Q5" s="23" t="inlineStr">
        <is>
          <t>履带式单斗挖掘机 0.3m3
台班</t>
        </is>
      </c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  <c r="BE5" s="23" t="n"/>
      <c r="BF5" s="23" t="n"/>
      <c r="BG5" s="23" t="n"/>
      <c r="BH5" s="23" t="n"/>
      <c r="BI5" s="23" t="n"/>
      <c r="BJ5" s="23" t="n"/>
      <c r="BK5" s="23" t="n"/>
      <c r="BL5" s="23" t="n"/>
      <c r="BM5" s="23" t="n"/>
      <c r="BN5" s="23" t="n"/>
    </row>
    <row r="6" outlineLevel="2">
      <c r="A6" s="28" t="n"/>
      <c r="B6" s="29" t="n"/>
      <c r="C6" s="29" t="n"/>
      <c r="D6" s="29" t="inlineStr">
        <is>
          <t>参考单价 -&gt;</t>
        </is>
      </c>
      <c r="E6" s="28" t="n"/>
      <c r="F6" s="28" t="n"/>
      <c r="G6" s="28" t="n"/>
      <c r="H6" s="30" t="n"/>
      <c r="I6" s="31" t="n"/>
      <c r="J6" s="31" t="n"/>
      <c r="K6" s="32" t="n"/>
      <c r="L6" s="33">
        <f>'人材机'!E7</f>
        <v/>
      </c>
      <c r="M6" s="33">
        <f>'人材机'!E11</f>
        <v/>
      </c>
      <c r="N6" s="33">
        <f>'人材机'!E25</f>
        <v/>
      </c>
      <c r="O6" s="33">
        <f>'人材机'!E17</f>
        <v/>
      </c>
      <c r="P6" s="33">
        <f>'人材机'!E24</f>
        <v/>
      </c>
      <c r="Q6" s="33">
        <f>'人材机'!E26</f>
        <v/>
      </c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28" t="n"/>
      <c r="BI6" s="28" t="n"/>
      <c r="BJ6" s="28" t="n"/>
      <c r="BK6" s="28" t="n"/>
      <c r="BL6" s="28" t="n"/>
      <c r="BM6" s="28" t="n"/>
      <c r="BN6" s="28" t="n"/>
    </row>
    <row r="7" outlineLevel="3">
      <c r="A7" s="34" t="n">
        <v>1</v>
      </c>
      <c r="B7" s="35" t="inlineStr">
        <is>
          <t>挖基坑土方</t>
        </is>
      </c>
      <c r="C7" s="36" t="inlineStr">
        <is>
          <t>A.01.02.001.BJ12.1-7</t>
        </is>
      </c>
      <c r="D7" s="35" t="inlineStr">
        <is>
          <t>机挖土方 运距1km以内</t>
        </is>
      </c>
      <c r="E7" s="37" t="inlineStr">
        <is>
          <t>m3</t>
        </is>
      </c>
      <c r="F7" s="38">
        <f>G7*H7</f>
        <v/>
      </c>
      <c r="G7" s="39" t="n">
        <v>23324.7124</v>
      </c>
      <c r="H7" s="40">
        <f>I7+J7+K7</f>
        <v/>
      </c>
      <c r="I7" s="41">
        <f>SUMPRODUCT(L6:L6,L7:L7)</f>
        <v/>
      </c>
      <c r="J7" s="41">
        <f>SUMPRODUCT(M6:M6,M7:M7)</f>
        <v/>
      </c>
      <c r="K7" s="42">
        <f>SUMPRODUCT(N6:Q6,N7:Q7)</f>
        <v/>
      </c>
      <c r="L7" s="39" t="n">
        <v>0.018</v>
      </c>
      <c r="M7" s="39" t="n">
        <v>0.4438</v>
      </c>
      <c r="N7" s="39" t="n">
        <v>0.003</v>
      </c>
      <c r="O7" s="39" t="n">
        <v>0.0028</v>
      </c>
      <c r="P7" s="39" t="n">
        <v>0.002</v>
      </c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  <c r="BA7" s="37" t="n"/>
      <c r="BB7" s="37" t="n"/>
      <c r="BC7" s="37" t="n"/>
      <c r="BD7" s="37" t="n"/>
      <c r="BE7" s="37" t="n"/>
      <c r="BF7" s="37" t="n"/>
      <c r="BG7" s="37" t="n"/>
      <c r="BH7" s="37" t="n"/>
      <c r="BI7" s="37" t="n"/>
      <c r="BJ7" s="37" t="n"/>
      <c r="BK7" s="37" t="n"/>
      <c r="BL7" s="37" t="n"/>
      <c r="BM7" s="37" t="n"/>
      <c r="BN7" s="37" t="n"/>
    </row>
    <row r="8" outlineLevel="3">
      <c r="A8" s="34" t="n">
        <v>2</v>
      </c>
      <c r="B8" s="35" t="inlineStr">
        <is>
          <t>挖基坑土方</t>
        </is>
      </c>
      <c r="C8" s="36" t="inlineStr">
        <is>
          <t>A.01.02.001.BJ12.1-14</t>
        </is>
      </c>
      <c r="D8" s="35" t="inlineStr">
        <is>
          <t>挖桩间土 运距1km以内</t>
        </is>
      </c>
      <c r="E8" s="37" t="inlineStr">
        <is>
          <t>m3</t>
        </is>
      </c>
      <c r="F8" s="38">
        <f>G8*H8</f>
        <v/>
      </c>
      <c r="G8" s="39" t="n">
        <v>4929.015</v>
      </c>
      <c r="H8" s="40">
        <f>I8+J8+K8</f>
        <v/>
      </c>
      <c r="I8" s="41">
        <f>SUMPRODUCT(L6:L6,L8:L8)</f>
        <v/>
      </c>
      <c r="J8" s="41">
        <f>SUMPRODUCT(M6:M6,M8:M8)</f>
        <v/>
      </c>
      <c r="K8" s="42">
        <f>SUMPRODUCT(N6:Q6,N8:Q8)</f>
        <v/>
      </c>
      <c r="L8" s="39" t="n">
        <v>0.067</v>
      </c>
      <c r="M8" s="39" t="n">
        <v>1.0828</v>
      </c>
      <c r="N8" s="37" t="n"/>
      <c r="O8" s="39" t="n">
        <v>0.0028</v>
      </c>
      <c r="P8" s="37" t="n"/>
      <c r="Q8" s="39" t="n">
        <v>0.0172</v>
      </c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  <c r="BB8" s="37" t="n"/>
      <c r="BC8" s="37" t="n"/>
      <c r="BD8" s="37" t="n"/>
      <c r="BE8" s="37" t="n"/>
      <c r="BF8" s="37" t="n"/>
      <c r="BG8" s="37" t="n"/>
      <c r="BH8" s="37" t="n"/>
      <c r="BI8" s="37" t="n"/>
      <c r="BJ8" s="37" t="n"/>
      <c r="BK8" s="37" t="n"/>
      <c r="BL8" s="37" t="n"/>
      <c r="BM8" s="37" t="n"/>
      <c r="BN8" s="37" t="n"/>
    </row>
    <row r="10" outlineLevel="2">
      <c r="A10" s="23" t="n"/>
      <c r="B10" s="24" t="n"/>
      <c r="C10" s="24" t="n"/>
      <c r="D10" s="24" t="inlineStr">
        <is>
          <t>{A.01.02.007 回填方}</t>
        </is>
      </c>
      <c r="E10" s="23" t="n"/>
      <c r="F10" s="23" t="n"/>
      <c r="G10" s="23" t="n"/>
      <c r="H10" s="25" t="n"/>
      <c r="I10" s="26" t="n"/>
      <c r="J10" s="26" t="n"/>
      <c r="K10" s="27" t="n"/>
      <c r="L10" s="23" t="inlineStr">
        <is>
          <t>普工
工日</t>
        </is>
      </c>
      <c r="M10" s="23" t="inlineStr">
        <is>
          <t>电动夯实机20~62kg/m
台班</t>
        </is>
      </c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  <c r="BK10" s="23" t="n"/>
      <c r="BL10" s="23" t="n"/>
      <c r="BM10" s="23" t="n"/>
      <c r="BN10" s="23" t="n"/>
    </row>
    <row r="11" outlineLevel="2">
      <c r="A11" s="28" t="n"/>
      <c r="B11" s="29" t="n"/>
      <c r="C11" s="29" t="n"/>
      <c r="D11" s="29" t="inlineStr">
        <is>
          <t>参考单价 -&gt;</t>
        </is>
      </c>
      <c r="E11" s="28" t="n"/>
      <c r="F11" s="28" t="n"/>
      <c r="G11" s="28" t="n"/>
      <c r="H11" s="30" t="n"/>
      <c r="I11" s="31" t="n"/>
      <c r="J11" s="31" t="n"/>
      <c r="K11" s="32" t="n"/>
      <c r="L11" s="33">
        <f>'人材机'!E7</f>
        <v/>
      </c>
      <c r="M11" s="33">
        <f>'人材机'!E23</f>
        <v/>
      </c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  <c r="AR11" s="28" t="n"/>
      <c r="AS11" s="28" t="n"/>
      <c r="AT11" s="28" t="n"/>
      <c r="AU11" s="28" t="n"/>
      <c r="AV11" s="28" t="n"/>
      <c r="AW11" s="28" t="n"/>
      <c r="AX11" s="28" t="n"/>
      <c r="AY11" s="28" t="n"/>
      <c r="AZ11" s="28" t="n"/>
      <c r="BA11" s="28" t="n"/>
      <c r="BB11" s="28" t="n"/>
      <c r="BC11" s="28" t="n"/>
      <c r="BD11" s="28" t="n"/>
      <c r="BE11" s="28" t="n"/>
      <c r="BF11" s="28" t="n"/>
      <c r="BG11" s="28" t="n"/>
      <c r="BH11" s="28" t="n"/>
      <c r="BI11" s="28" t="n"/>
      <c r="BJ11" s="28" t="n"/>
      <c r="BK11" s="28" t="n"/>
      <c r="BL11" s="28" t="n"/>
      <c r="BM11" s="28" t="n"/>
      <c r="BN11" s="28" t="n"/>
    </row>
    <row r="12" outlineLevel="3">
      <c r="A12" s="34" t="n">
        <v>3</v>
      </c>
      <c r="B12" s="35" t="inlineStr">
        <is>
          <t>回填方</t>
        </is>
      </c>
      <c r="C12" s="36" t="inlineStr">
        <is>
          <t>A.01.02.007.BJ21.1-35</t>
        </is>
      </c>
      <c r="D12" s="35" t="inlineStr">
        <is>
          <t>回填土 夯填</t>
        </is>
      </c>
      <c r="E12" s="37" t="inlineStr">
        <is>
          <t>m³</t>
        </is>
      </c>
      <c r="F12" s="38">
        <f>G12*H12</f>
        <v/>
      </c>
      <c r="G12" s="39" t="n">
        <v>4929.0591</v>
      </c>
      <c r="H12" s="40">
        <f>I12+J12+K12</f>
        <v/>
      </c>
      <c r="I12" s="41">
        <f>SUMPRODUCT(L11:L11,L12:L12)</f>
        <v/>
      </c>
      <c r="J12" s="43" t="n"/>
      <c r="K12" s="42">
        <f>SUMPRODUCT(M11:M11,M12:M12)</f>
        <v/>
      </c>
      <c r="L12" s="39" t="n">
        <v>0.175</v>
      </c>
      <c r="M12" s="39" t="n">
        <v>0.083</v>
      </c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  <c r="BA12" s="37" t="n"/>
      <c r="BB12" s="37" t="n"/>
      <c r="BC12" s="37" t="n"/>
      <c r="BD12" s="37" t="n"/>
      <c r="BE12" s="37" t="n"/>
      <c r="BF12" s="37" t="n"/>
      <c r="BG12" s="37" t="n"/>
      <c r="BH12" s="37" t="n"/>
      <c r="BI12" s="37" t="n"/>
      <c r="BJ12" s="37" t="n"/>
      <c r="BK12" s="37" t="n"/>
      <c r="BL12" s="37" t="n"/>
      <c r="BM12" s="37" t="n"/>
      <c r="BN12" s="37" t="n"/>
    </row>
    <row r="15" outlineLevel="1">
      <c r="A15" s="18" t="n"/>
      <c r="B15" s="19" t="n"/>
      <c r="C15" s="19" t="n"/>
      <c r="D15" s="19" t="inlineStr">
        <is>
          <t>《A.01.03 平整场地及清表》</t>
        </is>
      </c>
      <c r="E15" s="18" t="n"/>
      <c r="F15" s="18" t="n"/>
      <c r="G15" s="18" t="n"/>
      <c r="H15" s="20" t="n"/>
      <c r="I15" s="21" t="n"/>
      <c r="J15" s="21" t="n"/>
      <c r="K15" s="22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</row>
    <row r="16" outlineLevel="2">
      <c r="A16" s="23" t="n"/>
      <c r="B16" s="24" t="n"/>
      <c r="C16" s="24" t="n"/>
      <c r="D16" s="24" t="inlineStr">
        <is>
          <t>{A.01.03.001 平整场地及清表}</t>
        </is>
      </c>
      <c r="E16" s="23" t="n"/>
      <c r="F16" s="23" t="n"/>
      <c r="G16" s="23" t="n"/>
      <c r="H16" s="25" t="n"/>
      <c r="I16" s="26" t="n"/>
      <c r="J16" s="26" t="n"/>
      <c r="K16" s="27" t="n"/>
      <c r="L16" s="23" t="inlineStr">
        <is>
          <t>普工
工日</t>
        </is>
      </c>
      <c r="M16" s="23" t="inlineStr">
        <is>
          <t>轮胎式装载机 3m3
台班</t>
        </is>
      </c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  <c r="AZ16" s="23" t="n"/>
      <c r="BA16" s="23" t="n"/>
      <c r="BB16" s="23" t="n"/>
      <c r="BC16" s="23" t="n"/>
      <c r="BD16" s="23" t="n"/>
      <c r="BE16" s="23" t="n"/>
      <c r="BF16" s="23" t="n"/>
      <c r="BG16" s="23" t="n"/>
      <c r="BH16" s="23" t="n"/>
      <c r="BI16" s="23" t="n"/>
      <c r="BJ16" s="23" t="n"/>
      <c r="BK16" s="23" t="n"/>
      <c r="BL16" s="23" t="n"/>
      <c r="BM16" s="23" t="n"/>
      <c r="BN16" s="23" t="n"/>
    </row>
    <row r="17" outlineLevel="2">
      <c r="A17" s="28" t="n"/>
      <c r="B17" s="29" t="n"/>
      <c r="C17" s="29" t="n"/>
      <c r="D17" s="29" t="inlineStr">
        <is>
          <t>参考单价 -&gt;</t>
        </is>
      </c>
      <c r="E17" s="28" t="n"/>
      <c r="F17" s="28" t="n"/>
      <c r="G17" s="28" t="n"/>
      <c r="H17" s="30" t="n"/>
      <c r="I17" s="31" t="n"/>
      <c r="J17" s="31" t="n"/>
      <c r="K17" s="32" t="n"/>
      <c r="L17" s="33">
        <f>'人材机'!E7</f>
        <v/>
      </c>
      <c r="M17" s="33">
        <f>'人材机'!E27</f>
        <v/>
      </c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28" t="n"/>
      <c r="BD17" s="28" t="n"/>
      <c r="BE17" s="28" t="n"/>
      <c r="BF17" s="28" t="n"/>
      <c r="BG17" s="28" t="n"/>
      <c r="BH17" s="28" t="n"/>
      <c r="BI17" s="28" t="n"/>
      <c r="BJ17" s="28" t="n"/>
      <c r="BK17" s="28" t="n"/>
      <c r="BL17" s="28" t="n"/>
      <c r="BM17" s="28" t="n"/>
      <c r="BN17" s="28" t="n"/>
    </row>
    <row r="18" outlineLevel="3">
      <c r="A18" s="34" t="n">
        <v>4</v>
      </c>
      <c r="B18" s="35" t="inlineStr">
        <is>
          <t>平整场地及清表</t>
        </is>
      </c>
      <c r="C18" s="36" t="inlineStr">
        <is>
          <t>A.01.03.001.BJ21.1-2</t>
        </is>
      </c>
      <c r="D18" s="35" t="inlineStr">
        <is>
          <t>平整场地 机械</t>
        </is>
      </c>
      <c r="E18" s="37" t="inlineStr">
        <is>
          <t>m²</t>
        </is>
      </c>
      <c r="F18" s="38">
        <f>G18*H18</f>
        <v/>
      </c>
      <c r="G18" s="39" t="n">
        <v>8146</v>
      </c>
      <c r="H18" s="40">
        <f>I18+J18+K18</f>
        <v/>
      </c>
      <c r="I18" s="41">
        <f>SUMPRODUCT(L17:L17,L18:L18)</f>
        <v/>
      </c>
      <c r="J18" s="43" t="n"/>
      <c r="K18" s="42">
        <f>SUMPRODUCT(M17:M17,M18:M18)</f>
        <v/>
      </c>
      <c r="L18" s="39" t="n">
        <v>0.002</v>
      </c>
      <c r="M18" s="39" t="n">
        <v>0.0007</v>
      </c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  <c r="BB18" s="37" t="n"/>
      <c r="BC18" s="37" t="n"/>
      <c r="BD18" s="37" t="n"/>
      <c r="BE18" s="37" t="n"/>
      <c r="BF18" s="37" t="n"/>
      <c r="BG18" s="37" t="n"/>
      <c r="BH18" s="37" t="n"/>
      <c r="BI18" s="37" t="n"/>
      <c r="BJ18" s="37" t="n"/>
      <c r="BK18" s="37" t="n"/>
      <c r="BL18" s="37" t="n"/>
      <c r="BM18" s="37" t="n"/>
      <c r="BN18" s="37" t="n"/>
    </row>
    <row r="20" outlineLevel="2">
      <c r="A20" s="23" t="n"/>
      <c r="B20" s="24" t="n"/>
      <c r="C20" s="24" t="n"/>
      <c r="D20" s="24" t="inlineStr">
        <is>
          <t>{A.01.03.002 余方弃置}</t>
        </is>
      </c>
      <c r="E20" s="23" t="n"/>
      <c r="F20" s="23" t="n"/>
      <c r="G20" s="23" t="n"/>
      <c r="H20" s="25" t="n"/>
      <c r="I20" s="26" t="n"/>
      <c r="J20" s="26" t="n"/>
      <c r="K20" s="27" t="n"/>
      <c r="L20" s="23" t="inlineStr">
        <is>
          <t>普工
工日</t>
        </is>
      </c>
      <c r="M20" s="23" t="inlineStr">
        <is>
          <t>柴油
kg</t>
        </is>
      </c>
      <c r="N20" s="23" t="inlineStr">
        <is>
          <t>推土机 综合
台班</t>
        </is>
      </c>
      <c r="O20" s="23" t="inlineStr">
        <is>
          <t>自卸汽车 15t
台班</t>
        </is>
      </c>
      <c r="P20" s="23" t="inlineStr">
        <is>
          <t>挖土机 综合
台班</t>
        </is>
      </c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  <c r="AZ20" s="23" t="n"/>
      <c r="BA20" s="23" t="n"/>
      <c r="BB20" s="23" t="n"/>
      <c r="BC20" s="23" t="n"/>
      <c r="BD20" s="23" t="n"/>
      <c r="BE20" s="23" t="n"/>
      <c r="BF20" s="23" t="n"/>
      <c r="BG20" s="23" t="n"/>
      <c r="BH20" s="23" t="n"/>
      <c r="BI20" s="23" t="n"/>
      <c r="BJ20" s="23" t="n"/>
      <c r="BK20" s="23" t="n"/>
      <c r="BL20" s="23" t="n"/>
      <c r="BM20" s="23" t="n"/>
      <c r="BN20" s="23" t="n"/>
    </row>
    <row r="21" outlineLevel="2">
      <c r="A21" s="28" t="n"/>
      <c r="B21" s="29" t="n"/>
      <c r="C21" s="29" t="n"/>
      <c r="D21" s="29" t="inlineStr">
        <is>
          <t>参考单价 -&gt;</t>
        </is>
      </c>
      <c r="E21" s="28" t="n"/>
      <c r="F21" s="28" t="n"/>
      <c r="G21" s="28" t="n"/>
      <c r="H21" s="30" t="n"/>
      <c r="I21" s="31" t="n"/>
      <c r="J21" s="31" t="n"/>
      <c r="K21" s="32" t="n"/>
      <c r="L21" s="33">
        <f>'人材机'!E7</f>
        <v/>
      </c>
      <c r="M21" s="33">
        <f>'人材机'!E11</f>
        <v/>
      </c>
      <c r="N21" s="33">
        <f>'人材机'!E25</f>
        <v/>
      </c>
      <c r="O21" s="33">
        <f>'人材机'!E17</f>
        <v/>
      </c>
      <c r="P21" s="33">
        <f>'人材机'!E24</f>
        <v/>
      </c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28" t="n"/>
      <c r="BC21" s="28" t="n"/>
      <c r="BD21" s="28" t="n"/>
      <c r="BE21" s="28" t="n"/>
      <c r="BF21" s="28" t="n"/>
      <c r="BG21" s="28" t="n"/>
      <c r="BH21" s="28" t="n"/>
      <c r="BI21" s="28" t="n"/>
      <c r="BJ21" s="28" t="n"/>
      <c r="BK21" s="28" t="n"/>
      <c r="BL21" s="28" t="n"/>
      <c r="BM21" s="28" t="n"/>
      <c r="BN21" s="28" t="n"/>
    </row>
    <row r="22" outlineLevel="3">
      <c r="A22" s="34" t="n">
        <v>5</v>
      </c>
      <c r="B22" s="35" t="inlineStr">
        <is>
          <t>余方弃置</t>
        </is>
      </c>
      <c r="C22" s="36" t="inlineStr">
        <is>
          <t>A.01.03.002.BJ12.1-45</t>
        </is>
      </c>
      <c r="D22" s="35" t="inlineStr">
        <is>
          <t>渣土外运 运距15km以内</t>
        </is>
      </c>
      <c r="E22" s="37" t="inlineStr">
        <is>
          <t>m3</t>
        </is>
      </c>
      <c r="F22" s="38">
        <f>G22*H22</f>
        <v/>
      </c>
      <c r="G22" s="39" t="n">
        <v>18395.6533</v>
      </c>
      <c r="H22" s="40">
        <f>I22+J22+K22</f>
        <v/>
      </c>
      <c r="I22" s="41">
        <f>SUMPRODUCT(L21:L21,L22:L22)</f>
        <v/>
      </c>
      <c r="J22" s="41">
        <f>SUMPRODUCT(M21:M21,M22:M22)</f>
        <v/>
      </c>
      <c r="K22" s="42">
        <f>SUMPRODUCT(N21:P21,N22:P22)</f>
        <v/>
      </c>
      <c r="L22" s="39" t="n">
        <v>0.09</v>
      </c>
      <c r="M22" s="39" t="n">
        <v>1.5374</v>
      </c>
      <c r="N22" s="39" t="n">
        <v>0.0021</v>
      </c>
      <c r="O22" s="39" t="n">
        <v>0.0182</v>
      </c>
      <c r="P22" s="39" t="n">
        <v>0.0065</v>
      </c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  <c r="BB22" s="37" t="n"/>
      <c r="BC22" s="37" t="n"/>
      <c r="BD22" s="37" t="n"/>
      <c r="BE22" s="37" t="n"/>
      <c r="BF22" s="37" t="n"/>
      <c r="BG22" s="37" t="n"/>
      <c r="BH22" s="37" t="n"/>
      <c r="BI22" s="37" t="n"/>
      <c r="BJ22" s="37" t="n"/>
      <c r="BK22" s="37" t="n"/>
      <c r="BL22" s="37" t="n"/>
      <c r="BM22" s="37" t="n"/>
      <c r="BN22" s="37" t="n"/>
    </row>
    <row r="26">
      <c r="A26" s="13" t="n"/>
      <c r="B26" s="14" t="n"/>
      <c r="C26" s="14" t="inlineStr">
        <is>
          <t>A.03</t>
        </is>
      </c>
      <c r="D26" s="14" t="inlineStr">
        <is>
          <t>【A.03 桩基工程】</t>
        </is>
      </c>
      <c r="E26" s="13" t="n"/>
      <c r="F26" s="13" t="n"/>
      <c r="G26" s="13" t="n"/>
      <c r="H26" s="15" t="n"/>
      <c r="I26" s="16" t="n"/>
      <c r="J26" s="16" t="n"/>
      <c r="K26" s="17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</row>
    <row r="27" outlineLevel="1">
      <c r="A27" s="18" t="n"/>
      <c r="B27" s="19" t="n"/>
      <c r="C27" s="19" t="n"/>
      <c r="D27" s="19" t="inlineStr">
        <is>
          <t>《A.03.01 预制桩》</t>
        </is>
      </c>
      <c r="E27" s="18" t="n"/>
      <c r="F27" s="18" t="n"/>
      <c r="G27" s="18" t="n"/>
      <c r="H27" s="20" t="n"/>
      <c r="I27" s="21" t="n"/>
      <c r="J27" s="21" t="n"/>
      <c r="K27" s="22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</row>
    <row r="28" outlineLevel="2">
      <c r="A28" s="23" t="n"/>
      <c r="B28" s="24" t="n"/>
      <c r="C28" s="24" t="n"/>
      <c r="D28" s="24" t="inlineStr">
        <is>
          <t>{A.03.01.005 截(凿)桩头}</t>
        </is>
      </c>
      <c r="E28" s="23" t="n"/>
      <c r="F28" s="23" t="n"/>
      <c r="G28" s="23" t="n"/>
      <c r="H28" s="25" t="n"/>
      <c r="I28" s="26" t="n"/>
      <c r="J28" s="26" t="n"/>
      <c r="K28" s="27" t="n"/>
      <c r="L28" s="23" t="inlineStr">
        <is>
          <t>普工
工日</t>
        </is>
      </c>
      <c r="M28" s="23" t="inlineStr">
        <is>
          <t>电
kW·h</t>
        </is>
      </c>
      <c r="N28" s="23" t="inlineStr">
        <is>
          <t>空压机 1m3/min
台班</t>
        </is>
      </c>
      <c r="O28" s="23" t="inlineStr">
        <is>
          <t>风镐
台班</t>
        </is>
      </c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3" t="n"/>
      <c r="BC28" s="23" t="n"/>
      <c r="BD28" s="23" t="n"/>
      <c r="BE28" s="23" t="n"/>
      <c r="BF28" s="23" t="n"/>
      <c r="BG28" s="23" t="n"/>
      <c r="BH28" s="23" t="n"/>
      <c r="BI28" s="23" t="n"/>
      <c r="BJ28" s="23" t="n"/>
      <c r="BK28" s="23" t="n"/>
      <c r="BL28" s="23" t="n"/>
      <c r="BM28" s="23" t="n"/>
      <c r="BN28" s="23" t="n"/>
    </row>
    <row r="29" outlineLevel="2">
      <c r="A29" s="28" t="n"/>
      <c r="B29" s="29" t="n"/>
      <c r="C29" s="29" t="n"/>
      <c r="D29" s="29" t="inlineStr">
        <is>
          <t>参考单价 -&gt;</t>
        </is>
      </c>
      <c r="E29" s="28" t="n"/>
      <c r="F29" s="28" t="n"/>
      <c r="G29" s="28" t="n"/>
      <c r="H29" s="30" t="n"/>
      <c r="I29" s="31" t="n"/>
      <c r="J29" s="31" t="n"/>
      <c r="K29" s="32" t="n"/>
      <c r="L29" s="33">
        <f>'人材机'!E7</f>
        <v/>
      </c>
      <c r="M29" s="33">
        <f>'人材机'!E13</f>
        <v/>
      </c>
      <c r="N29" s="33">
        <f>'人材机'!E22</f>
        <v/>
      </c>
      <c r="O29" s="33">
        <f>'人材机'!E20</f>
        <v/>
      </c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28" t="n"/>
      <c r="AU29" s="28" t="n"/>
      <c r="AV29" s="28" t="n"/>
      <c r="AW29" s="28" t="n"/>
      <c r="AX29" s="28" t="n"/>
      <c r="AY29" s="28" t="n"/>
      <c r="AZ29" s="28" t="n"/>
      <c r="BA29" s="28" t="n"/>
      <c r="BB29" s="28" t="n"/>
      <c r="BC29" s="28" t="n"/>
      <c r="BD29" s="28" t="n"/>
      <c r="BE29" s="28" t="n"/>
      <c r="BF29" s="28" t="n"/>
      <c r="BG29" s="28" t="n"/>
      <c r="BH29" s="28" t="n"/>
      <c r="BI29" s="28" t="n"/>
      <c r="BJ29" s="28" t="n"/>
      <c r="BK29" s="28" t="n"/>
      <c r="BL29" s="28" t="n"/>
      <c r="BM29" s="28" t="n"/>
      <c r="BN29" s="28" t="n"/>
    </row>
    <row r="30" outlineLevel="3">
      <c r="A30" s="34" t="n">
        <v>6</v>
      </c>
      <c r="B30" s="35" t="inlineStr">
        <is>
          <t>截(凿)桩头</t>
        </is>
      </c>
      <c r="C30" s="36" t="inlineStr">
        <is>
          <t>A.03.01.005.BJ12.3-16</t>
        </is>
      </c>
      <c r="D30" s="35" t="inlineStr">
        <is>
          <t>凿桩头 有筋</t>
        </is>
      </c>
      <c r="E30" s="37" t="inlineStr">
        <is>
          <t>根</t>
        </is>
      </c>
      <c r="F30" s="38">
        <f>G30*H30</f>
        <v/>
      </c>
      <c r="G30" s="39" t="n">
        <v>1078</v>
      </c>
      <c r="H30" s="40">
        <f>I30+J30+K30</f>
        <v/>
      </c>
      <c r="I30" s="41">
        <f>SUMPRODUCT(L29:L29,L30:L30)</f>
        <v/>
      </c>
      <c r="J30" s="41">
        <f>SUMPRODUCT(M29:M29,M30:M30)</f>
        <v/>
      </c>
      <c r="K30" s="42">
        <f>SUMPRODUCT(N29:O29,N30:O30)</f>
        <v/>
      </c>
      <c r="L30" s="39" t="n">
        <v>0.214</v>
      </c>
      <c r="M30" s="39" t="n">
        <v>12.936</v>
      </c>
      <c r="N30" s="39" t="n">
        <v>0.6468</v>
      </c>
      <c r="O30" s="39" t="n">
        <v>0.6468</v>
      </c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  <c r="BA30" s="37" t="n"/>
      <c r="BB30" s="37" t="n"/>
      <c r="BC30" s="37" t="n"/>
      <c r="BD30" s="37" t="n"/>
      <c r="BE30" s="37" t="n"/>
      <c r="BF30" s="37" t="n"/>
      <c r="BG30" s="37" t="n"/>
      <c r="BH30" s="37" t="n"/>
      <c r="BI30" s="37" t="n"/>
      <c r="BJ30" s="37" t="n"/>
      <c r="BK30" s="37" t="n"/>
      <c r="BL30" s="37" t="n"/>
      <c r="BM30" s="37" t="n"/>
      <c r="BN30" s="3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44" t="inlineStr">
        <is>
          <t>人材机汇总表</t>
        </is>
      </c>
    </row>
    <row r="2">
      <c r="F2" s="45" t="inlineStr">
        <is>
          <t>币种：</t>
        </is>
      </c>
      <c r="G2" s="46" t="inlineStr">
        <is>
          <t>泰铢</t>
        </is>
      </c>
    </row>
    <row r="3">
      <c r="A3" s="47" t="inlineStr">
        <is>
          <t>编号</t>
        </is>
      </c>
      <c r="B3" s="47" t="inlineStr">
        <is>
          <t>名称</t>
        </is>
      </c>
      <c r="C3" s="47" t="inlineStr">
        <is>
          <t>单位</t>
        </is>
      </c>
      <c r="D3" s="47" t="inlineStr">
        <is>
          <t>数量</t>
        </is>
      </c>
      <c r="E3" s="47" t="inlineStr">
        <is>
          <t>除税单价</t>
        </is>
      </c>
      <c r="F3" s="47" t="inlineStr">
        <is>
          <t>合价</t>
        </is>
      </c>
      <c r="G3" s="47" t="inlineStr">
        <is>
          <t>价格来源</t>
        </is>
      </c>
    </row>
    <row r="4">
      <c r="A4" s="48" t="n"/>
      <c r="B4" s="49" t="inlineStr">
        <is>
          <t>【人工】</t>
        </is>
      </c>
      <c r="C4" s="48" t="n"/>
      <c r="D4" s="48" t="n"/>
      <c r="E4" s="48" t="n"/>
      <c r="F4" s="48" t="n"/>
      <c r="G4" s="48" t="n"/>
    </row>
    <row r="5" outlineLevel="1">
      <c r="A5" s="50" t="n"/>
      <c r="B5" s="51" t="inlineStr">
        <is>
          <t>《普通工人》</t>
        </is>
      </c>
      <c r="C5" s="50" t="n"/>
      <c r="D5" s="50" t="n"/>
      <c r="E5" s="50" t="n"/>
      <c r="F5" s="50" t="n"/>
      <c r="G5" s="50" t="n"/>
    </row>
    <row r="6" outlineLevel="2">
      <c r="A6" s="52" t="n"/>
      <c r="B6" s="53" t="inlineStr">
        <is>
          <t>{杂工/普工}</t>
        </is>
      </c>
      <c r="C6" s="52" t="n"/>
      <c r="D6" s="52" t="n"/>
      <c r="E6" s="52" t="n"/>
      <c r="F6" s="52" t="n"/>
      <c r="G6" s="52" t="n"/>
    </row>
    <row r="7" outlineLevel="3">
      <c r="A7" s="54" t="n">
        <v>1</v>
      </c>
      <c r="B7" s="55" t="inlineStr">
        <is>
          <t>普工</t>
        </is>
      </c>
      <c r="C7" s="54" t="inlineStr">
        <is>
          <t>工日</t>
        </is>
      </c>
      <c r="D7" s="56" t="n">
        <v>3515.267</v>
      </c>
      <c r="E7" s="56" t="n">
        <v>693</v>
      </c>
      <c r="F7" s="56">
        <f>D7*E7</f>
        <v/>
      </c>
      <c r="G7" s="55" t="inlineStr">
        <is>
          <t>A册_建筑装饰 基价</t>
        </is>
      </c>
    </row>
    <row r="8">
      <c r="A8" s="48" t="n"/>
      <c r="B8" s="49" t="inlineStr">
        <is>
          <t>【周转材】</t>
        </is>
      </c>
      <c r="C8" s="48" t="n"/>
      <c r="D8" s="48" t="n"/>
      <c r="E8" s="48" t="n"/>
      <c r="F8" s="48" t="n"/>
      <c r="G8" s="48" t="n"/>
    </row>
    <row r="9" outlineLevel="1">
      <c r="A9" s="50" t="n"/>
      <c r="B9" s="51" t="inlineStr">
        <is>
          <t>《施工临建及措施材料》</t>
        </is>
      </c>
      <c r="C9" s="50" t="n"/>
      <c r="D9" s="50" t="n"/>
      <c r="E9" s="50" t="n"/>
      <c r="F9" s="50" t="n"/>
      <c r="G9" s="50" t="n"/>
    </row>
    <row r="10" outlineLevel="2">
      <c r="A10" s="52" t="n"/>
      <c r="B10" s="53" t="inlineStr">
        <is>
          <t>{施工用油}</t>
        </is>
      </c>
      <c r="C10" s="52" t="n"/>
      <c r="D10" s="52" t="n"/>
      <c r="E10" s="52" t="n"/>
      <c r="F10" s="52" t="n"/>
      <c r="G10" s="52" t="n"/>
    </row>
    <row r="11" outlineLevel="3">
      <c r="A11" s="54" t="n">
        <v>2</v>
      </c>
      <c r="B11" s="55" t="inlineStr">
        <is>
          <t>柴油</t>
        </is>
      </c>
      <c r="C11" s="54" t="inlineStr">
        <is>
          <t>kg</t>
        </is>
      </c>
      <c r="D11" s="56" t="n">
        <v>43970.1222</v>
      </c>
      <c r="E11" s="56" t="n">
        <v>34.7619</v>
      </c>
      <c r="F11" s="56">
        <f>D11*E11</f>
        <v/>
      </c>
      <c r="G11" s="55" t="inlineStr">
        <is>
          <t>A册_建筑装饰 基价</t>
        </is>
      </c>
    </row>
    <row r="12" outlineLevel="2">
      <c r="A12" s="52" t="n"/>
      <c r="B12" s="53" t="inlineStr">
        <is>
          <t>{施工用电}</t>
        </is>
      </c>
      <c r="C12" s="52" t="n"/>
      <c r="D12" s="52" t="n"/>
      <c r="E12" s="52" t="n"/>
      <c r="F12" s="52" t="n"/>
      <c r="G12" s="52" t="n"/>
    </row>
    <row r="13" outlineLevel="3">
      <c r="A13" s="54" t="n">
        <v>3</v>
      </c>
      <c r="B13" s="55" t="inlineStr">
        <is>
          <t>电</t>
        </is>
      </c>
      <c r="C13" s="54" t="inlineStr">
        <is>
          <t>kW·h</t>
        </is>
      </c>
      <c r="D13" s="56" t="n">
        <v>13945.008</v>
      </c>
      <c r="E13" s="56" t="n">
        <v>3.9</v>
      </c>
      <c r="F13" s="56">
        <f>D13*E13</f>
        <v/>
      </c>
      <c r="G13" s="55" t="inlineStr">
        <is>
          <t>A册_建筑装饰 基价</t>
        </is>
      </c>
    </row>
    <row r="14">
      <c r="A14" s="48" t="n"/>
      <c r="B14" s="49" t="inlineStr">
        <is>
          <t>【机械】</t>
        </is>
      </c>
      <c r="C14" s="48" t="n"/>
      <c r="D14" s="48" t="n"/>
      <c r="E14" s="48" t="n"/>
      <c r="F14" s="48" t="n"/>
      <c r="G14" s="48" t="n"/>
    </row>
    <row r="15" outlineLevel="1">
      <c r="A15" s="50" t="n"/>
      <c r="B15" s="51" t="inlineStr">
        <is>
          <t>《水平运输机械》</t>
        </is>
      </c>
      <c r="C15" s="50" t="n"/>
      <c r="D15" s="50" t="n"/>
      <c r="E15" s="50" t="n"/>
      <c r="F15" s="50" t="n"/>
      <c r="G15" s="50" t="n"/>
    </row>
    <row r="16" outlineLevel="2">
      <c r="A16" s="52" t="n"/>
      <c r="B16" s="53" t="inlineStr">
        <is>
          <t>{自卸汽车}</t>
        </is>
      </c>
      <c r="C16" s="52" t="n"/>
      <c r="D16" s="52" t="n"/>
      <c r="E16" s="52" t="n"/>
      <c r="F16" s="52" t="n"/>
      <c r="G16" s="52" t="n"/>
    </row>
    <row r="17" outlineLevel="3">
      <c r="A17" s="54" t="n">
        <v>4</v>
      </c>
      <c r="B17" s="55" t="inlineStr">
        <is>
          <t>自卸汽车 15t</t>
        </is>
      </c>
      <c r="C17" s="54" t="inlineStr">
        <is>
          <t>台班</t>
        </is>
      </c>
      <c r="D17" s="56" t="n">
        <v>413.9113</v>
      </c>
      <c r="E17" s="56" t="n">
        <v>4759.6154</v>
      </c>
      <c r="F17" s="56">
        <f>D17*E17</f>
        <v/>
      </c>
      <c r="G17" s="55" t="inlineStr">
        <is>
          <t>A册_建筑装饰 基价</t>
        </is>
      </c>
    </row>
    <row r="18" outlineLevel="1">
      <c r="A18" s="50" t="n"/>
      <c r="B18" s="51" t="inlineStr">
        <is>
          <t>《其他中小型机械》</t>
        </is>
      </c>
      <c r="C18" s="50" t="n"/>
      <c r="D18" s="50" t="n"/>
      <c r="E18" s="50" t="n"/>
      <c r="F18" s="50" t="n"/>
      <c r="G18" s="50" t="n"/>
    </row>
    <row r="19" outlineLevel="2">
      <c r="A19" s="52" t="n"/>
      <c r="B19" s="53" t="inlineStr">
        <is>
          <t>{空压机及凿岩}</t>
        </is>
      </c>
      <c r="C19" s="52" t="n"/>
      <c r="D19" s="52" t="n"/>
      <c r="E19" s="52" t="n"/>
      <c r="F19" s="52" t="n"/>
      <c r="G19" s="52" t="n"/>
    </row>
    <row r="20" outlineLevel="3">
      <c r="A20" s="54" t="n">
        <v>5</v>
      </c>
      <c r="B20" s="55" t="inlineStr">
        <is>
          <t>风镐</t>
        </is>
      </c>
      <c r="C20" s="54" t="inlineStr">
        <is>
          <t>台班</t>
        </is>
      </c>
      <c r="D20" s="56" t="n">
        <v>697.2504</v>
      </c>
      <c r="E20" s="56" t="n">
        <v>86.47</v>
      </c>
      <c r="F20" s="56">
        <f>D20*E20</f>
        <v/>
      </c>
      <c r="G20" s="55" t="inlineStr">
        <is>
          <t>A册_建筑装饰 基价</t>
        </is>
      </c>
    </row>
    <row r="21" outlineLevel="2">
      <c r="A21" s="52" t="n"/>
      <c r="B21" s="53" t="inlineStr">
        <is>
          <t>{切割钻孔}</t>
        </is>
      </c>
      <c r="C21" s="52" t="n"/>
      <c r="D21" s="52" t="n"/>
      <c r="E21" s="52" t="n"/>
      <c r="F21" s="52" t="n"/>
      <c r="G21" s="52" t="n"/>
    </row>
    <row r="22" outlineLevel="3">
      <c r="A22" s="54" t="n">
        <v>6</v>
      </c>
      <c r="B22" s="55" t="inlineStr">
        <is>
          <t>空压机 1m3/min</t>
        </is>
      </c>
      <c r="C22" s="54" t="inlineStr">
        <is>
          <t>台班</t>
        </is>
      </c>
      <c r="D22" s="56" t="n">
        <v>697.2504</v>
      </c>
      <c r="E22" s="56" t="n">
        <v>120.0575</v>
      </c>
      <c r="F22" s="56">
        <f>D22*E22</f>
        <v/>
      </c>
      <c r="G22" s="55" t="inlineStr">
        <is>
          <t>A册_建筑装饰 基价</t>
        </is>
      </c>
    </row>
    <row r="23" outlineLevel="3">
      <c r="A23" s="54" t="n">
        <v>7</v>
      </c>
      <c r="B23" s="55" t="inlineStr">
        <is>
          <t>电动夯实机20~62kg/m</t>
        </is>
      </c>
      <c r="C23" s="54" t="inlineStr">
        <is>
          <t>台班</t>
        </is>
      </c>
      <c r="D23" s="56" t="n">
        <v>409.1119</v>
      </c>
      <c r="E23" s="56" t="n">
        <v>278.5135</v>
      </c>
      <c r="F23" s="56">
        <f>D23*E23</f>
        <v/>
      </c>
      <c r="G23" s="55" t="inlineStr">
        <is>
          <t>A册_建筑装饰 基价</t>
        </is>
      </c>
    </row>
    <row r="24" outlineLevel="3">
      <c r="A24" s="54" t="n">
        <v>8</v>
      </c>
      <c r="B24" s="55" t="inlineStr">
        <is>
          <t>挖土机 综合</t>
        </is>
      </c>
      <c r="C24" s="54" t="inlineStr">
        <is>
          <t>台班</t>
        </is>
      </c>
      <c r="D24" s="56" t="n">
        <v>166.2212</v>
      </c>
      <c r="E24" s="56" t="n">
        <v>4615.3846</v>
      </c>
      <c r="F24" s="56">
        <f>D24*E24</f>
        <v/>
      </c>
      <c r="G24" s="55" t="inlineStr">
        <is>
          <t>A册_建筑装饰 基价</t>
        </is>
      </c>
    </row>
    <row r="25" outlineLevel="3">
      <c r="A25" s="54" t="n">
        <v>9</v>
      </c>
      <c r="B25" s="55" t="inlineStr">
        <is>
          <t>推土机 综合</t>
        </is>
      </c>
      <c r="C25" s="54" t="inlineStr">
        <is>
          <t>台班</t>
        </is>
      </c>
      <c r="D25" s="56" t="n">
        <v>108.605</v>
      </c>
      <c r="E25" s="56" t="n">
        <v>5769.2308</v>
      </c>
      <c r="F25" s="56">
        <f>D25*E25</f>
        <v/>
      </c>
      <c r="G25" s="55" t="inlineStr">
        <is>
          <t>A册_建筑装饰 基价</t>
        </is>
      </c>
    </row>
    <row r="26" outlineLevel="3">
      <c r="A26" s="54" t="n">
        <v>10</v>
      </c>
      <c r="B26" s="55" t="inlineStr">
        <is>
          <t>履带式单斗挖掘机 0.3m3</t>
        </is>
      </c>
      <c r="C26" s="54" t="inlineStr">
        <is>
          <t>台班</t>
        </is>
      </c>
      <c r="D26" s="56" t="n">
        <v>84.7791</v>
      </c>
      <c r="E26" s="56" t="n">
        <v>2734.8817</v>
      </c>
      <c r="F26" s="56">
        <f>D26*E26</f>
        <v/>
      </c>
      <c r="G26" s="55" t="inlineStr">
        <is>
          <t>A册_建筑装饰 基价</t>
        </is>
      </c>
    </row>
    <row r="27" outlineLevel="3">
      <c r="A27" s="54" t="n">
        <v>11</v>
      </c>
      <c r="B27" s="55" t="inlineStr">
        <is>
          <t>轮胎式装载机 3m3</t>
        </is>
      </c>
      <c r="C27" s="54" t="inlineStr">
        <is>
          <t>台班</t>
        </is>
      </c>
      <c r="D27" s="56" t="n">
        <v>5.7022</v>
      </c>
      <c r="E27" s="56" t="n">
        <v>9580.867</v>
      </c>
      <c r="F27" s="56">
        <f>D27*E27</f>
        <v/>
      </c>
      <c r="G27" s="55" t="inlineStr">
        <is>
          <t>A册_建筑装饰 基价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2026-09-06T09:54:49Z</dcterms:created>
  <dcterms:modified xmlns:dcterms="http://purl.org/dc/terms/" xmlns:xsi="http://www.w3.org/2001/XMLSchema-instance" xsi:type="dcterms:W3CDTF">2026-09-06T09:54:49Z</dcterms:modified>
</cp:coreProperties>
</file>